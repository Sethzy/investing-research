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alue hurdle" sheetId="1" state="visible" r:id="rId3"/>
    <sheet name="Cash quality" sheetId="2" state="visible" r:id="rId4"/>
    <sheet name="Project hurdle" sheetId="3" state="visible" r:id="rId5"/>
  </sheets>
  <definedNames>
    <definedName function="false" hidden="false" localSheetId="1" name="_xlnm.Print_Area" vbProcedure="false">'Cash quality'!$A$1:$D$38</definedName>
    <definedName function="false" hidden="false" localSheetId="2" name="_xlnm.Print_Area" vbProcedure="false">'Project hurdle'!$A$1:$D$40</definedName>
    <definedName function="false" hidden="false" localSheetId="0" name="_xlnm.Print_Area" vbProcedure="false">'Value hurdle'!$A$1:$D$51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None</author>
  </authors>
  <commentList>
    <comment ref="B6" authorId="0">
      <text>
        <r>
          <rPr>
            <sz val="10"/>
            <rFont val="Arial"/>
            <family val="2"/>
          </rPr>
          <t xml:space="preserve">reported: A$ per share, 18 September 2026 close
https://stockanalysis.com/quote/asx/MLX/history/
Delayed quote retained from prior captured edition.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reported: June issued shares, millions
https://www.metalsx.com.au/wp-content/uploads/2026/08/MLX-30-June-2026-Appendix-4D-and-Half-Year-Report.pdf#page=27
Cross-check: annual PDF p48 no dilutive potential shares; H1 EPS basic equals diluted. No verified September capital register.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reported: Consolidated June cash
https://www.metalsx.com.au/wp-content/uploads/2026/08/MLX-30-June-2026-Appendix-4D-and-Half-Year-Report.pdf#page=16
No assumed September roll-forward or future operating receipts.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reported: Consolidated June hire purchase
https://www.metalsx.com.au/wp-content/uploads/2026/08/MLX-30-June-2026-Appendix-4D-and-Half-Year-Report.pdf#page=26
Current 1.003 plus noncurrent 0.097; deducted once.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derived: June carrying amounts
https://www.metalsx.com.au/wp-content/uploads/2026/08/MLX-30-June-2026-Appendix-4D-and-Half-Year-Report.pdf#page=21
48.417 financial assets plus 43.864 associates. Greentech subsequently delisted, p28; not current realizable values.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assumption: Portfolio haircut stress
https://www.metalsx.com.au/wp-content/uploads/2026/08/MLX-30-June-2026-Appendix-4D-and-Half-Year-Report.pdf#page=28
25% illustrative liquidity/valuation haircut, not an appraisal; includes Greentech delisting and associate uncertainty.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assumption: Attributable nominal closure stress
https://www.metalsx.com.au/wp-content/uploads/2026/08/MLX-30-June-2026-Appendix-4D-and-Half-Year-Report.pdf#page=25
A$50m paid at chosen end of life, not reported closure cash. Reported provision A$34.48m is discounted; do not equate the two.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assumption: Years remaining from valuation
https://www.metalsx.com.au/wp-content/uploads/2025/11/24_MLX_ASX_2025-Renison-Ore-Reserve-Update_17-November-2025.pdf
Eight-year stress; March-2025 reserve life was nine years, not nine years remaining today. Requires updated depleted mine schedule.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assumption: Nominal annual required return
Analyst stress test, 20 September 2026
10% scenario hurdle, not an estimated WACC.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assumption: Attributable after-tax operating cash before financing
https://www.metalsx.com.au/wp-content/uploads/2026/03/MLX-Annual-Report-31-December-2025.pdf#page=49
100m stress exceeds FY2025 adjusted 74.075m; stronger H1 motivates testing, not automatic annualization. Corporate costs and recurring capital included.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None</author>
  </authors>
  <commentList>
    <comment ref="B6" authorId="0">
      <text>
        <r>
          <rPr>
            <sz val="10"/>
            <rFont val="Arial"/>
            <family val="2"/>
          </rPr>
          <t xml:space="preserve">reported: FY2024 consolidated AUDm; already attributable
https://www.metalsx.com.au/wp-content/uploads/2026/03/MLX-Annual-Report-31-December-2025.pdf#page=26
Reported amount converted from A$000 to A$m; no extra 50% attribution.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derived: FY2024 consolidated AUDm; already attributable
https://www.metalsx.com.au/wp-content/uploads/2026/03/MLX-Annual-Report-31-December-2025.pdf#page=49
Signed sum of the five changes in assets/liabilities/provisions in the operating-cash reconciliation.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reported: FY2024 consolidated AUDm; already attributable
https://www.metalsx.com.au/wp-content/uploads/2026/03/MLX-Annual-Report-31-December-2025.pdf#page=43
Reported amount converted from A$000 to A$m; no extra 50% attribution.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reported: FY2024 consolidated AUDm; already attributable
https://www.metalsx.com.au/wp-content/uploads/2026/03/MLX-Annual-Report-31-December-2025.pdf#page=43
Reported amount converted from A$000 to A$m; no extra 50% attribution.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reported: FY2024 consolidated AUDm; already attributable
https://www.metalsx.com.au/wp-content/uploads/2026/03/MLX-Annual-Report-31-December-2025.pdf#page=44
Reported amount converted from A$000 to A$m; no extra 50% attribution.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reported: FY2024 consolidated AUDm; already attributable
https://www.metalsx.com.au/wp-content/uploads/2026/03/MLX-Annual-Report-31-December-2025.pdf#page=49
Reported amount converted from A$000 to A$m; no extra 50% attribution.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assumption: Tax approximation
https://www.metalsx.com.au/wp-content/uploads/2026/03/MLX-Annual-Report-31-December-2025.pdf#page=45
30% statutory reference, applied to adjusted operating cash less accounting D&amp;A; ignores loss shields/tax-depreciation differences.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reported: FY2024 consolidated AUDm; already attributable
https://www.metalsx.com.au/wp-content/uploads/2026/03/MLX-Annual-Report-31-December-2025.pdf#page=26
Reported amount converted from A$000 to A$m; no extra 50% attribution.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reported: FY2024 consolidated AUDm; already attributable
https://www.metalsx.com.au/wp-content/uploads/2026/03/MLX-Annual-Report-31-December-2025.pdf#page=26
Reported amount converted from A$000 to A$m; no extra 50% attribution.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reported: FY2024 consolidated AUDm; already attributable
https://www.metalsx.com.au/wp-content/uploads/2026/03/MLX-Annual-Report-31-December-2025.pdf#page=26
Reported amount converted from A$000 to A$m; no extra 50% attribution.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reported: FY2025 consolidated AUDm; already attributable
https://www.metalsx.com.au/wp-content/uploads/2026/03/MLX-Annual-Report-31-December-2025.pdf#page=26
Reported amount converted from A$000 to A$m; no extra 50% attribution.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derived: FY2025 consolidated AUDm; already attributable
https://www.metalsx.com.au/wp-content/uploads/2026/03/MLX-Annual-Report-31-December-2025.pdf#page=49
Signed sum of the five changes in assets/liabilities/provisions in the operating-cash reconciliation.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reported: FY2025 consolidated AUDm; already attributable
https://www.metalsx.com.au/wp-content/uploads/2026/03/MLX-Annual-Report-31-December-2025.pdf#page=43
Reported amount converted from A$000 to A$m; no extra 50% attribution.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reported: FY2025 consolidated AUDm; already attributable
https://www.metalsx.com.au/wp-content/uploads/2026/03/MLX-Annual-Report-31-December-2025.pdf#page=43
Reported amount converted from A$000 to A$m; no extra 50% attribution.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reported: FY2025 consolidated AUDm; already attributable
https://www.metalsx.com.au/wp-content/uploads/2026/03/MLX-Annual-Report-31-December-2025.pdf#page=44
Reported amount converted from A$000 to A$m; no extra 50% attribution.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reported: FY2025 consolidated AUDm; already attributable
https://www.metalsx.com.au/wp-content/uploads/2026/03/MLX-Annual-Report-31-December-2025.pdf#page=49
Reported amount converted from A$000 to A$m; no extra 50% attribution.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reported: FY2025 consolidated AUDm; already attributable
https://www.metalsx.com.au/wp-content/uploads/2026/03/MLX-Annual-Report-31-December-2025.pdf#page=26
Reported amount converted from A$000 to A$m; no extra 50% attribution.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reported: FY2025 consolidated AUDm; already attributable
https://www.metalsx.com.au/wp-content/uploads/2026/03/MLX-Annual-Report-31-December-2025.pdf#page=26
Reported amount converted from A$000 to A$m; no extra 50% attribution.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reported: FY2025 consolidated AUDm; already attributable
https://www.metalsx.com.au/wp-content/uploads/2026/03/MLX-Annual-Report-31-December-2025.pdf#page=26
Reported amount converted from A$000 to A$m; no extra 50% attribution.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None</author>
  </authors>
  <commentList>
    <comment ref="B7" authorId="0">
      <text>
        <r>
          <rPr>
            <sz val="10"/>
            <rFont val="Arial"/>
            <family val="2"/>
          </rPr>
          <t xml:space="preserve">reported: MLX share of BMTJV
https://www.metalsx.com.au/wp-content/uploads/2026/08/MLX-30-June-2026-Appendix-4D-and-Half-Year-Report.pdf#page=9
50% applied only to whole-project economics; operating cash inputs are already attributable.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assumption: Whole-project AUDm paid at time zero
https://www.metalsx.com.au/wp-content/uploads/2026/08/MLX-30-June-2026-Appendix-4D-and-Half-Year-Report.pdf#page=9
500m stress only; no current sanctioned Rentails cost. Do not use the 2017 study as current guidance.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assumption: Whole-project operating years
https://www.metalsx.com.au/wp-content/uploads/2026/08/MLX-30-June-2026-Appendix-4D-and-Half-Year-Report.pdf#page=9
15-year stress only; no reserve-backed project schedule.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assumption: Years after valuation to first end-year receipt
https://www.metalsx.com.au/wp-content/uploads/2026/08/MLX-30-June-2026-Appendix-4D-and-Half-Year-Report.pdf#page=9
First receipt in year three, not a company commissioning promise; FEED late 2026 and FID 2027 are earlier milestones.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assumption: Whole-project nominal cash at end
https://www.metalsx.com.au/wp-content/uploads/2026/08/MLX-30-June-2026-Appendix-4D-and-Half-Year-Report.pdf#page=9
50m additional closure stress, separate from operating asset closure; validate incremental overlap when integrated schedule exists.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assumption: Additional corporate liquidity reserve
https://www.metalsx.com.au/wp-content/uploads/2026/08/MLX-30-June-2026-Appendix-4D-and-Half-Year-Report.pdf#page=9
100m illustrative reserve, above identified commitments and debt; no user policy implied.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derived: Consolidated commitments
https://www.metalsx.com.au/wp-content/uploads/2026/08/MLX-30-June-2026-Appendix-4D-and-Half-Year-Report.pdf#page=27
16.79 capital plus 1.94 tenement commitments. Reserved conservatively, separately from additional buffer; no future operating cash credited.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-175</xdr:colOff>
                <xdr:row>2</xdr:row>
                <xdr:rowOff>23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<sst xmlns="http://schemas.openxmlformats.org/spreadsheetml/2006/main" count="75" uniqueCount="73">
  <si>
    <t xml:space="preserve">What must the operating business earn?</t>
  </si>
  <si>
    <t xml:space="preserve">Metals X (ASX:MLX) | 2026-09-20 | AUD millions, except price, years and rates. Conditional tests; not a price target.</t>
  </si>
  <si>
    <t xml:space="preserve">Reference price per share</t>
  </si>
  <si>
    <t xml:space="preserve">Issued share denominator, millions</t>
  </si>
  <si>
    <t xml:space="preserve">Market equity value</t>
  </si>
  <si>
    <t xml:space="preserve">Corporate cash</t>
  </si>
  <si>
    <t xml:space="preserve">Debt / hire purchase</t>
  </si>
  <si>
    <t xml:space="preserve">Investment carrying amounts</t>
  </si>
  <si>
    <t xml:space="preserve">Assumed haircut to carrying amounts</t>
  </si>
  <si>
    <t xml:space="preserve">Conditional investment value</t>
  </si>
  <si>
    <t xml:space="preserve">Assumed closure cash, attributable</t>
  </si>
  <si>
    <t xml:space="preserve">Assumed remaining operating years</t>
  </si>
  <si>
    <t xml:space="preserve">Assumed discount rate</t>
  </si>
  <si>
    <t xml:space="preserve">Annual cash, attributable after corporate costs</t>
  </si>
  <si>
    <t xml:space="preserve">Finite cash-flow present-value factor</t>
  </si>
  <si>
    <t xml:space="preserve">Operating value after closure</t>
  </si>
  <si>
    <t xml:space="preserve">Net cash and conditional investments</t>
  </si>
  <si>
    <t xml:space="preserve">Conditional equity value</t>
  </si>
  <si>
    <t xml:space="preserve">Conditional value per share</t>
  </si>
  <si>
    <t xml:space="preserve">Market price value still unexplained</t>
  </si>
  <si>
    <t xml:space="preserve">Annual cash required by reference price</t>
  </si>
  <si>
    <t xml:space="preserve">Annual cash is an explicit stress input, not a forecast or the historical average. First payment is one year after valuation; no stub period, ramp or terminal value. Closure is a nominal assumed payment at the end of the chosen life. No accounting closure provision is added again.</t>
  </si>
  <si>
    <t xml:space="preserve">Conditional value per share across cash and life</t>
  </si>
  <si>
    <t xml:space="preserve">Years / annual cash</t>
  </si>
  <si>
    <t xml:space="preserve">Matrix axes are analyst stress tests, not management guidance or probability-weighted cases. Change cash and life together when geology, disruption or investment requires it. Do not describe the highest value as a price target. Investment haircut also remains an assumption.</t>
  </si>
  <si>
    <t xml:space="preserve">The residual can reflect omitted assets, longer or stronger cash generation, stale balance-sheet figures, different required returns, or market optimism. It cannot be attributed exclusively to the development project. No personal margin-of-safety threshold is assumed.</t>
  </si>
  <si>
    <t xml:space="preserve">Cash generation, with timing removed</t>
  </si>
  <si>
    <t xml:space="preserve">FY2024</t>
  </si>
  <si>
    <t xml:space="preserve">FY2025</t>
  </si>
  <si>
    <t xml:space="preserve">Reported operating cash</t>
  </si>
  <si>
    <t xml:space="preserve">Working-capital / provision movements</t>
  </si>
  <si>
    <t xml:space="preserve">Cash before movements</t>
  </si>
  <si>
    <t xml:space="preserve">Remove accrued investment interest</t>
  </si>
  <si>
    <t xml:space="preserve">Remove note extension fee</t>
  </si>
  <si>
    <t xml:space="preserve">Add financing interest back</t>
  </si>
  <si>
    <t xml:space="preserve">Operating cash before tax / investment</t>
  </si>
  <si>
    <t xml:space="preserve">Depreciation and amortisation</t>
  </si>
  <si>
    <t xml:space="preserve">Taxable-profit approximation</t>
  </si>
  <si>
    <t xml:space="preserve">Assumed tax rate</t>
  </si>
  <si>
    <t xml:space="preserve">Tax at assumed rate</t>
  </si>
  <si>
    <t xml:space="preserve">Equipment cash spending</t>
  </si>
  <si>
    <t xml:space="preserve">Mine-development cash spending</t>
  </si>
  <si>
    <t xml:space="preserve">Exploration cash spending</t>
  </si>
  <si>
    <t xml:space="preserve">Historically adjusted operating cash</t>
  </si>
  <si>
    <t xml:space="preserve">Two-period average</t>
  </si>
  <si>
    <t xml:space="preserve">These are adjusted historical cash flows, not through-cycle or forward forecasts. Working capital is held flat; tax uses accounting depreciation as an approximation. All equipment, development and exploration spending is deducted, without inventing a sustaining/growth split. Corporate costs remain included.</t>
  </si>
  <si>
    <t xml:space="preserve">Investment interest and the note fee are removed so investment principal can be assessed separately. Financing interest is added back: this is cash before financing, with debt deducted separately in the value bridge. Lease principal is financing. No new lease additions are assumed.</t>
  </si>
  <si>
    <t xml:space="preserve">Sources and reasoning are in input cell notes. Annual periods are not divided into artificial quarters. The recent strong half-year is not annualized. Taxes, royalty exposure, commodity cycle and future capital needs still require forward estimates.</t>
  </si>
  <si>
    <t xml:space="preserve">What would the omitted project need to deliver?</t>
  </si>
  <si>
    <t xml:space="preserve">Residual from conditional operating case</t>
  </si>
  <si>
    <t xml:space="preserve">Project ownership</t>
  </si>
  <si>
    <t xml:space="preserve">Whole-project capital, paid today</t>
  </si>
  <si>
    <t xml:space="preserve">Whole-project operating years</t>
  </si>
  <si>
    <t xml:space="preserve">First cash receipt: years from today</t>
  </si>
  <si>
    <t xml:space="preserve">Discount rate</t>
  </si>
  <si>
    <t xml:space="preserve">Whole-project closure cash</t>
  </si>
  <si>
    <t xml:space="preserve">Delayed cash-flow PV factor</t>
  </si>
  <si>
    <t xml:space="preserve">Present value of project closure</t>
  </si>
  <si>
    <t xml:space="preserve">Attributable capital payment</t>
  </si>
  <si>
    <t xml:space="preserve">Whole-project annual cash: economic break-even</t>
  </si>
  <si>
    <t xml:space="preserve">Whole-project annual cash: cover residual too</t>
  </si>
  <si>
    <t xml:space="preserve">Corporate cash available before reserves</t>
  </si>
  <si>
    <t xml:space="preserve">Additional corporate cash buffer</t>
  </si>
  <si>
    <t xml:space="preserve">Other reserved commitments</t>
  </si>
  <si>
    <t xml:space="preserve">Debt reserved</t>
  </si>
  <si>
    <t xml:space="preserve">Cash available for project</t>
  </si>
  <si>
    <t xml:space="preserve">Maximum whole-project capital from this cash</t>
  </si>
  <si>
    <t xml:space="preserve">Unfunded attributable capital</t>
  </si>
  <si>
    <t xml:space="preserve">Existing cash shortfall before project</t>
  </si>
  <si>
    <t xml:space="preserve">Residual hurdle: one-year later receipts</t>
  </si>
  <si>
    <t xml:space="preserve">Funding gap if capital is 25% higher</t>
  </si>
  <si>
    <t xml:space="preserve">Cash is after tax, sustaining capital and working capital, before financing, at whole-project level. No production or metal-price target is inferred. Capital is assumed paid immediately; later receipts include delay but no ramp. The market-residual hurdle is conditional, not the project value.</t>
  </si>
  <si>
    <t xml:space="preserve">Funding excludes future operating inflows, dividends, asset sales and new debt/equity. The buffer is additional to reserved commitments. Check overlaps before reuse. A cash gap is not an approved financing plan. Economic break-even and liquidity are different questions.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</si>
</sst>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.0;\(#,##0.0\);\-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2"/>
      <charset val="1"/>
    </font>
    <font>
      <sz val="10"/>
      <color rgb="FF536575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0000FF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name val="Arial"/>
      <family val="2"/>
    </font>
    <font>
      <sz val="11"/>
      <color rgb="FF008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4D"/>
        <bgColor rgb="FF333333"/>
      </patternFill>
    </fill>
    <fill>
      <patternFill patternType="solid">
        <fgColor rgb="FFE7F1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F1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6575"/>
      <rgbColor rgb="FF969696"/>
      <rgbColor rgb="FF1736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21.75" customHeight="true" zeroHeight="false" outlineLevelRow="0" outlineLevelCol="0"/>
  <cols>
    <col collapsed="false" customWidth="true" hidden="false" outlineLevel="0" max="1" min="1" style="0" width="53.71"/>
    <col collapsed="false" customWidth="true" hidden="false" outlineLevel="0" max="3" min="2" style="0" width="19.71"/>
    <col collapsed="false" customWidth="true" hidden="false" outlineLevel="0" max="4" min="4" style="0" width="21.7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1"/>
      <c r="B2" s="1"/>
      <c r="C2" s="1"/>
      <c r="D2" s="1"/>
    </row>
    <row r="3" customFormat="false" ht="21.75" hidden="false" customHeight="true" outlineLevel="0" collapsed="false">
      <c r="A3" s="2" t="s">
        <v>1</v>
      </c>
      <c r="B3" s="2"/>
      <c r="C3" s="2"/>
      <c r="D3" s="2"/>
    </row>
    <row r="4" customFormat="false" ht="21.75" hidden="false" customHeight="true" outlineLevel="0" collapsed="false">
      <c r="A4" s="2"/>
      <c r="B4" s="2"/>
      <c r="C4" s="2"/>
      <c r="D4" s="2"/>
    </row>
    <row r="6" customFormat="false" ht="21.75" hidden="false" customHeight="true" outlineLevel="0" collapsed="false">
      <c r="A6" s="3" t="s">
        <v>2</v>
      </c>
      <c r="B6" s="4" t="n">
        <v>2.15</v>
      </c>
    </row>
    <row r="7" customFormat="false" ht="21.75" hidden="false" customHeight="true" outlineLevel="0" collapsed="false">
      <c r="A7" s="3" t="s">
        <v>3</v>
      </c>
      <c r="B7" s="5" t="n">
        <v>886.392538</v>
      </c>
    </row>
    <row r="8" customFormat="false" ht="21.75" hidden="false" customHeight="true" outlineLevel="0" collapsed="false">
      <c r="A8" s="3" t="s">
        <v>4</v>
      </c>
      <c r="B8" s="6" t="n">
        <f aca="false">B6*B7</f>
        <v>1905.7439567</v>
      </c>
    </row>
    <row r="10" customFormat="false" ht="21.75" hidden="false" customHeight="true" outlineLevel="0" collapsed="false">
      <c r="A10" s="3" t="s">
        <v>5</v>
      </c>
      <c r="B10" s="5" t="n">
        <v>373.998</v>
      </c>
    </row>
    <row r="11" customFormat="false" ht="21.75" hidden="false" customHeight="true" outlineLevel="0" collapsed="false">
      <c r="A11" s="3" t="s">
        <v>6</v>
      </c>
      <c r="B11" s="5" t="n">
        <v>1.1</v>
      </c>
    </row>
    <row r="12" customFormat="false" ht="21.75" hidden="false" customHeight="true" outlineLevel="0" collapsed="false">
      <c r="A12" s="3" t="s">
        <v>7</v>
      </c>
      <c r="B12" s="5" t="n">
        <v>92.281</v>
      </c>
    </row>
    <row r="13" customFormat="false" ht="21.75" hidden="false" customHeight="true" outlineLevel="0" collapsed="false">
      <c r="A13" s="3" t="s">
        <v>8</v>
      </c>
      <c r="B13" s="7" t="n">
        <v>0.25</v>
      </c>
    </row>
    <row r="14" customFormat="false" ht="21.75" hidden="false" customHeight="true" outlineLevel="0" collapsed="false">
      <c r="A14" s="3" t="s">
        <v>9</v>
      </c>
      <c r="B14" s="6" t="n">
        <f aca="false">B12*(1-B13)</f>
        <v>69.21075</v>
      </c>
    </row>
    <row r="16" customFormat="false" ht="21.75" hidden="false" customHeight="true" outlineLevel="0" collapsed="false">
      <c r="A16" s="3" t="s">
        <v>10</v>
      </c>
      <c r="B16" s="5" t="n">
        <v>50</v>
      </c>
    </row>
    <row r="17" customFormat="false" ht="21.75" hidden="false" customHeight="true" outlineLevel="0" collapsed="false">
      <c r="A17" s="3" t="s">
        <v>11</v>
      </c>
      <c r="B17" s="5" t="n">
        <v>8</v>
      </c>
    </row>
    <row r="18" customFormat="false" ht="21.75" hidden="false" customHeight="true" outlineLevel="0" collapsed="false">
      <c r="A18" s="3" t="s">
        <v>12</v>
      </c>
      <c r="B18" s="7" t="n">
        <v>0.1</v>
      </c>
    </row>
    <row r="19" customFormat="false" ht="31.5" hidden="false" customHeight="true" outlineLevel="0" collapsed="false">
      <c r="A19" s="3" t="s">
        <v>13</v>
      </c>
      <c r="B19" s="5" t="n">
        <v>100</v>
      </c>
    </row>
    <row r="20" customFormat="false" ht="21.75" hidden="false" customHeight="true" outlineLevel="0" collapsed="false">
      <c r="A20" s="3" t="s">
        <v>14</v>
      </c>
      <c r="B20" s="6" t="n">
        <f aca="false">IF(B18=0,B17,(1-(1+B18)^(-B17))/B18)</f>
        <v>5.33492619790267</v>
      </c>
    </row>
    <row r="21" customFormat="false" ht="21.75" hidden="false" customHeight="true" outlineLevel="0" collapsed="false">
      <c r="A21" s="3" t="s">
        <v>15</v>
      </c>
      <c r="B21" s="6" t="n">
        <f aca="false">B19*B20-B16/(1+B18)^B17</f>
        <v>510.16725077978</v>
      </c>
    </row>
    <row r="23" customFormat="false" ht="21.75" hidden="false" customHeight="true" outlineLevel="0" collapsed="false">
      <c r="A23" s="3" t="s">
        <v>16</v>
      </c>
      <c r="B23" s="6" t="n">
        <f aca="false">B10-B11+B14</f>
        <v>442.10875</v>
      </c>
    </row>
    <row r="24" customFormat="false" ht="21.75" hidden="false" customHeight="true" outlineLevel="0" collapsed="false">
      <c r="A24" s="3" t="s">
        <v>17</v>
      </c>
      <c r="B24" s="8" t="n">
        <f aca="false">B21+B23</f>
        <v>952.27600077978</v>
      </c>
    </row>
    <row r="25" customFormat="false" ht="21.75" hidden="false" customHeight="true" outlineLevel="0" collapsed="false">
      <c r="A25" s="3" t="s">
        <v>18</v>
      </c>
      <c r="B25" s="9" t="n">
        <f aca="false">B24/B7</f>
        <v>1.07432763697271</v>
      </c>
    </row>
    <row r="26" customFormat="false" ht="21.75" hidden="false" customHeight="true" outlineLevel="0" collapsed="false">
      <c r="A26" s="3" t="s">
        <v>19</v>
      </c>
      <c r="B26" s="8" t="n">
        <f aca="false">B8-B24</f>
        <v>953.46795592022</v>
      </c>
    </row>
    <row r="28" customFormat="false" ht="31.5" hidden="false" customHeight="true" outlineLevel="0" collapsed="false">
      <c r="A28" s="3" t="s">
        <v>20</v>
      </c>
      <c r="B28" s="8" t="n">
        <f aca="false">(B8-B23+B16/(1+B18)^B17)/B20</f>
        <v>278.721864286531</v>
      </c>
    </row>
    <row r="30" customFormat="false" ht="21.75" hidden="false" customHeight="true" outlineLevel="0" collapsed="false">
      <c r="A30" s="2" t="s">
        <v>21</v>
      </c>
      <c r="B30" s="2"/>
      <c r="C30" s="2"/>
      <c r="D30" s="2"/>
    </row>
    <row r="31" customFormat="false" ht="21.75" hidden="false" customHeight="true" outlineLevel="0" collapsed="false">
      <c r="A31" s="2"/>
      <c r="B31" s="2"/>
      <c r="C31" s="2"/>
      <c r="D31" s="2"/>
    </row>
    <row r="32" customFormat="false" ht="21.75" hidden="false" customHeight="true" outlineLevel="0" collapsed="false">
      <c r="A32" s="2"/>
      <c r="B32" s="2"/>
      <c r="C32" s="2"/>
      <c r="D32" s="2"/>
    </row>
    <row r="34" customFormat="false" ht="21.75" hidden="false" customHeight="true" outlineLevel="0" collapsed="false">
      <c r="A34" s="1" t="s">
        <v>22</v>
      </c>
      <c r="B34" s="1"/>
      <c r="C34" s="1"/>
      <c r="D34" s="1"/>
    </row>
    <row r="35" customFormat="false" ht="21.75" hidden="false" customHeight="true" outlineLevel="0" collapsed="false">
      <c r="A35" s="1"/>
      <c r="B35" s="1"/>
      <c r="C35" s="1"/>
      <c r="D35" s="1"/>
    </row>
    <row r="37" customFormat="false" ht="21.75" hidden="false" customHeight="true" outlineLevel="0" collapsed="false">
      <c r="A37" s="3" t="s">
        <v>23</v>
      </c>
      <c r="B37" s="5" t="n">
        <v>50</v>
      </c>
      <c r="C37" s="5" t="n">
        <v>100</v>
      </c>
      <c r="D37" s="5" t="n">
        <v>150</v>
      </c>
    </row>
    <row r="38" customFormat="false" ht="21.75" hidden="false" customHeight="true" outlineLevel="0" collapsed="false">
      <c r="A38" s="5" t="n">
        <v>5</v>
      </c>
      <c r="B38" s="9" t="n">
        <f aca="false">($B$23+B$37*IF($B$18=0,$A38,(1-(1+$B$18)^(-$A38))/$B$18)-$B$16/(1+$B$18)^$A38)/$B$7</f>
        <v>0.677580187749127</v>
      </c>
      <c r="C38" s="9" t="n">
        <f aca="false">($B$23+C$37*IF($B$18=0,$A38,(1-(1+$B$18)^(-$A38))/$B$18)-$B$16/(1+$B$18)^$A38)/$B$7</f>
        <v>0.891412468984353</v>
      </c>
      <c r="D38" s="9" t="n">
        <f aca="false">($B$23+D$37*IF($B$18=0,$A38,(1-(1+$B$18)^(-$A38))/$B$18)-$B$16/(1+$B$18)^$A38)/$B$7</f>
        <v>1.10524475021958</v>
      </c>
    </row>
    <row r="39" customFormat="false" ht="21.75" hidden="false" customHeight="true" outlineLevel="0" collapsed="false">
      <c r="A39" s="5" t="n">
        <v>8</v>
      </c>
      <c r="B39" s="9" t="n">
        <f aca="false">($B$23+B$37*IF($B$18=0,$A39,(1-(1+$B$18)^(-$A39))/$B$18)-$B$16/(1+$B$18)^$A39)/$B$7</f>
        <v>0.773392894790645</v>
      </c>
      <c r="C39" s="9" t="n">
        <f aca="false">($B$23+C$37*IF($B$18=0,$A39,(1-(1+$B$18)^(-$A39))/$B$18)-$B$16/(1+$B$18)^$A39)/$B$7</f>
        <v>1.07432763697271</v>
      </c>
      <c r="D39" s="9" t="n">
        <f aca="false">($B$23+D$37*IF($B$18=0,$A39,(1-(1+$B$18)^(-$A39))/$B$18)-$B$16/(1+$B$18)^$A39)/$B$7</f>
        <v>1.37526237915477</v>
      </c>
    </row>
    <row r="40" customFormat="false" ht="21.75" hidden="false" customHeight="true" outlineLevel="0" collapsed="false">
      <c r="A40" s="5" t="n">
        <v>10</v>
      </c>
      <c r="B40" s="9" t="n">
        <f aca="false">($B$23+B$37*IF($B$18=0,$A40,(1-(1+$B$18)^(-$A40))/$B$18)-$B$16/(1+$B$18)^$A40)/$B$7</f>
        <v>0.823630513024194</v>
      </c>
      <c r="C40" s="9" t="n">
        <f aca="false">($B$23+C$37*IF($B$18=0,$A40,(1-(1+$B$18)^(-$A40))/$B$18)-$B$16/(1+$B$18)^$A40)/$B$7</f>
        <v>1.17023581723676</v>
      </c>
      <c r="D40" s="9" t="n">
        <f aca="false">($B$23+D$37*IF($B$18=0,$A40,(1-(1+$B$18)^(-$A40))/$B$18)-$B$16/(1+$B$18)^$A40)/$B$7</f>
        <v>1.51684112144932</v>
      </c>
    </row>
    <row r="42" customFormat="false" ht="21.75" hidden="false" customHeight="true" outlineLevel="0" collapsed="false">
      <c r="A42" s="2" t="s">
        <v>24</v>
      </c>
      <c r="B42" s="2"/>
      <c r="C42" s="2"/>
      <c r="D42" s="2"/>
    </row>
    <row r="43" customFormat="false" ht="21.75" hidden="false" customHeight="true" outlineLevel="0" collapsed="false">
      <c r="A43" s="2"/>
      <c r="B43" s="2"/>
      <c r="C43" s="2"/>
      <c r="D43" s="2"/>
    </row>
    <row r="44" customFormat="false" ht="21.75" hidden="false" customHeight="true" outlineLevel="0" collapsed="false">
      <c r="A44" s="2"/>
      <c r="B44" s="2"/>
      <c r="C44" s="2"/>
      <c r="D44" s="2"/>
    </row>
    <row r="45" customFormat="false" ht="21.75" hidden="false" customHeight="true" outlineLevel="0" collapsed="false">
      <c r="A45" s="2"/>
      <c r="B45" s="2"/>
      <c r="C45" s="2"/>
      <c r="D45" s="2"/>
    </row>
    <row r="47" customFormat="false" ht="21.75" hidden="false" customHeight="true" outlineLevel="0" collapsed="false">
      <c r="A47" s="2" t="s">
        <v>25</v>
      </c>
      <c r="B47" s="2"/>
      <c r="C47" s="2"/>
      <c r="D47" s="2"/>
    </row>
    <row r="48" customFormat="false" ht="21.75" hidden="false" customHeight="true" outlineLevel="0" collapsed="false">
      <c r="A48" s="2"/>
      <c r="B48" s="2"/>
      <c r="C48" s="2"/>
      <c r="D48" s="2"/>
    </row>
    <row r="49" customFormat="false" ht="21.75" hidden="false" customHeight="true" outlineLevel="0" collapsed="false">
      <c r="A49" s="2"/>
      <c r="B49" s="2"/>
      <c r="C49" s="2"/>
      <c r="D49" s="2"/>
    </row>
    <row r="50" customFormat="false" ht="21.75" hidden="false" customHeight="true" outlineLevel="0" collapsed="false">
      <c r="A50" s="2"/>
      <c r="B50" s="2"/>
      <c r="C50" s="2"/>
      <c r="D50" s="2"/>
    </row>
  </sheetData>
  <mergeCells count="6">
    <mergeCell ref="A1:D2"/>
    <mergeCell ref="A3:D4"/>
    <mergeCell ref="A30:D32"/>
    <mergeCell ref="A34:D35"/>
    <mergeCell ref="A42:D45"/>
    <mergeCell ref="A47:D50"/>
  </mergeCells>
  <printOptions headings="false" gridLines="false" gridLinesSet="true" horizontalCentered="false" verticalCentered="false"/>
  <pageMargins left="0.3" right="0.3" top="0.35" bottom="0.35" header="0.511811023622047" footer="0.179861111111111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&amp;LValue hurdle&amp;RPage &amp;P of &amp;N</oddFooter>
  </headerFooter>
  <rowBreaks count="1" manualBreakCount="1">
    <brk id="33" man="true" max="16383" min="0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21.75" customHeight="true" zeroHeight="false" outlineLevelRow="0" outlineLevelCol="0"/>
  <cols>
    <col collapsed="false" customWidth="true" hidden="false" outlineLevel="0" max="1" min="1" style="0" width="53.71"/>
    <col collapsed="false" customWidth="true" hidden="false" outlineLevel="0" max="3" min="2" style="0" width="19.71"/>
    <col collapsed="false" customWidth="true" hidden="false" outlineLevel="0" max="4" min="4" style="0" width="21.71"/>
  </cols>
  <sheetData>
    <row r="1" customFormat="false" ht="21.75" hidden="false" customHeight="true" outlineLevel="0" collapsed="false">
      <c r="A1" s="1" t="s">
        <v>26</v>
      </c>
      <c r="B1" s="1"/>
      <c r="C1" s="1"/>
      <c r="D1" s="1"/>
    </row>
    <row r="2" customFormat="false" ht="21.75" hidden="false" customHeight="true" outlineLevel="0" collapsed="false">
      <c r="A2" s="1"/>
      <c r="B2" s="1"/>
      <c r="C2" s="1"/>
      <c r="D2" s="1"/>
    </row>
    <row r="3" customFormat="false" ht="21.75" hidden="false" customHeight="true" outlineLevel="0" collapsed="false">
      <c r="A3" s="2" t="s">
        <v>1</v>
      </c>
      <c r="B3" s="2"/>
      <c r="C3" s="2"/>
      <c r="D3" s="2"/>
    </row>
    <row r="4" customFormat="false" ht="21.75" hidden="false" customHeight="true" outlineLevel="0" collapsed="false">
      <c r="A4" s="2"/>
      <c r="B4" s="2"/>
      <c r="C4" s="2"/>
      <c r="D4" s="2"/>
    </row>
    <row r="5" customFormat="false" ht="21.75" hidden="false" customHeight="true" outlineLevel="0" collapsed="false">
      <c r="B5" s="3" t="s">
        <v>27</v>
      </c>
      <c r="C5" s="3" t="s">
        <v>28</v>
      </c>
    </row>
    <row r="6" customFormat="false" ht="21.75" hidden="false" customHeight="true" outlineLevel="0" collapsed="false">
      <c r="A6" s="3" t="s">
        <v>29</v>
      </c>
      <c r="B6" s="5" t="n">
        <v>143.567</v>
      </c>
      <c r="C6" s="5" t="n">
        <v>128.323</v>
      </c>
    </row>
    <row r="7" customFormat="false" ht="21.75" hidden="false" customHeight="true" outlineLevel="0" collapsed="false">
      <c r="A7" s="3" t="s">
        <v>30</v>
      </c>
      <c r="B7" s="5" t="n">
        <v>13.764</v>
      </c>
      <c r="C7" s="5" t="n">
        <v>-32.73</v>
      </c>
    </row>
    <row r="8" customFormat="false" ht="21.75" hidden="false" customHeight="true" outlineLevel="0" collapsed="false">
      <c r="A8" s="3" t="s">
        <v>31</v>
      </c>
      <c r="B8" s="6" t="n">
        <f aca="false">B6-B7</f>
        <v>129.803</v>
      </c>
      <c r="C8" s="6" t="n">
        <f aca="false">C6-C7</f>
        <v>161.053</v>
      </c>
    </row>
    <row r="9" customFormat="false" ht="21.75" hidden="false" customHeight="true" outlineLevel="0" collapsed="false">
      <c r="A9" s="3" t="s">
        <v>32</v>
      </c>
      <c r="B9" s="5" t="n">
        <v>9.837</v>
      </c>
      <c r="C9" s="5" t="n">
        <v>13.235</v>
      </c>
    </row>
    <row r="10" customFormat="false" ht="21.75" hidden="false" customHeight="true" outlineLevel="0" collapsed="false">
      <c r="A10" s="3" t="s">
        <v>33</v>
      </c>
      <c r="B10" s="5" t="n">
        <v>5</v>
      </c>
      <c r="C10" s="5" t="n">
        <v>0</v>
      </c>
    </row>
    <row r="11" customFormat="false" ht="21.75" hidden="false" customHeight="true" outlineLevel="0" collapsed="false">
      <c r="A11" s="3" t="s">
        <v>34</v>
      </c>
      <c r="B11" s="5" t="n">
        <v>0.314</v>
      </c>
      <c r="C11" s="5" t="n">
        <v>0.452</v>
      </c>
    </row>
    <row r="12" customFormat="false" ht="21.75" hidden="false" customHeight="true" outlineLevel="0" collapsed="false">
      <c r="A12" s="3" t="s">
        <v>35</v>
      </c>
      <c r="B12" s="8" t="n">
        <f aca="false">B8-B9-B10+B11</f>
        <v>115.28</v>
      </c>
      <c r="C12" s="8" t="n">
        <f aca="false">C8-C9-C10+C11</f>
        <v>148.27</v>
      </c>
    </row>
    <row r="13" customFormat="false" ht="21.75" hidden="false" customHeight="true" outlineLevel="0" collapsed="false">
      <c r="A13" s="3" t="s">
        <v>36</v>
      </c>
      <c r="B13" s="5" t="n">
        <v>22.806</v>
      </c>
      <c r="C13" s="5" t="n">
        <v>25.45</v>
      </c>
    </row>
    <row r="14" customFormat="false" ht="21.75" hidden="false" customHeight="true" outlineLevel="0" collapsed="false">
      <c r="A14" s="3" t="s">
        <v>37</v>
      </c>
      <c r="B14" s="6" t="n">
        <f aca="false">B12-B13</f>
        <v>92.474</v>
      </c>
      <c r="C14" s="6" t="n">
        <f aca="false">C12-C13</f>
        <v>122.82</v>
      </c>
    </row>
    <row r="15" customFormat="false" ht="21.75" hidden="false" customHeight="true" outlineLevel="0" collapsed="false">
      <c r="A15" s="3" t="s">
        <v>38</v>
      </c>
      <c r="B15" s="7" t="n">
        <v>0.3</v>
      </c>
      <c r="C15" s="10" t="n">
        <f aca="false">B15</f>
        <v>0.3</v>
      </c>
    </row>
    <row r="16" customFormat="false" ht="21.75" hidden="false" customHeight="true" outlineLevel="0" collapsed="false">
      <c r="A16" s="3" t="s">
        <v>39</v>
      </c>
      <c r="B16" s="6" t="n">
        <f aca="false">MAX(0,B14)*B15</f>
        <v>27.7422</v>
      </c>
      <c r="C16" s="6" t="n">
        <f aca="false">MAX(0,C14)*C15</f>
        <v>36.846</v>
      </c>
    </row>
    <row r="17" customFormat="false" ht="21.75" hidden="false" customHeight="true" outlineLevel="0" collapsed="false">
      <c r="A17" s="3" t="s">
        <v>40</v>
      </c>
      <c r="B17" s="5" t="n">
        <v>17.425</v>
      </c>
      <c r="C17" s="5" t="n">
        <v>13.747</v>
      </c>
    </row>
    <row r="18" customFormat="false" ht="21.75" hidden="false" customHeight="true" outlineLevel="0" collapsed="false">
      <c r="A18" s="3" t="s">
        <v>41</v>
      </c>
      <c r="B18" s="5" t="n">
        <v>22.511</v>
      </c>
      <c r="C18" s="5" t="n">
        <v>22.211</v>
      </c>
    </row>
    <row r="19" customFormat="false" ht="21.75" hidden="false" customHeight="true" outlineLevel="0" collapsed="false">
      <c r="A19" s="3" t="s">
        <v>42</v>
      </c>
      <c r="B19" s="5" t="n">
        <v>0.999</v>
      </c>
      <c r="C19" s="5" t="n">
        <v>1.391</v>
      </c>
    </row>
    <row r="20" customFormat="false" ht="21.75" hidden="false" customHeight="true" outlineLevel="0" collapsed="false">
      <c r="A20" s="3" t="s">
        <v>43</v>
      </c>
      <c r="B20" s="8" t="n">
        <f aca="false">B12-B16-SUM(B17:B19)</f>
        <v>46.6028</v>
      </c>
      <c r="C20" s="8" t="n">
        <f aca="false">C12-C16-SUM(C17:C19)</f>
        <v>74.075</v>
      </c>
    </row>
    <row r="22" customFormat="false" ht="21.75" hidden="false" customHeight="true" outlineLevel="0" collapsed="false">
      <c r="A22" s="3" t="s">
        <v>44</v>
      </c>
      <c r="B22" s="8" t="n">
        <f aca="false">AVERAGE(B20:C20)</f>
        <v>60.3389</v>
      </c>
    </row>
    <row r="24" customFormat="false" ht="21.75" hidden="false" customHeight="true" outlineLevel="0" collapsed="false">
      <c r="A24" s="2" t="s">
        <v>45</v>
      </c>
      <c r="B24" s="2"/>
      <c r="C24" s="2"/>
      <c r="D24" s="2"/>
    </row>
    <row r="25" customFormat="false" ht="21.75" hidden="false" customHeight="true" outlineLevel="0" collapsed="false">
      <c r="A25" s="2"/>
      <c r="B25" s="2"/>
      <c r="C25" s="2"/>
      <c r="D25" s="2"/>
    </row>
    <row r="26" customFormat="false" ht="21.75" hidden="false" customHeight="true" outlineLevel="0" collapsed="false">
      <c r="A26" s="2"/>
      <c r="B26" s="2"/>
      <c r="C26" s="2"/>
      <c r="D26" s="2"/>
    </row>
    <row r="27" customFormat="false" ht="21.75" hidden="false" customHeight="true" outlineLevel="0" collapsed="false">
      <c r="A27" s="2"/>
      <c r="B27" s="2"/>
      <c r="C27" s="2"/>
      <c r="D27" s="2"/>
    </row>
    <row r="29" customFormat="false" ht="21.75" hidden="false" customHeight="true" outlineLevel="0" collapsed="false">
      <c r="A29" s="2" t="s">
        <v>46</v>
      </c>
      <c r="B29" s="2"/>
      <c r="C29" s="2"/>
      <c r="D29" s="2"/>
    </row>
    <row r="30" customFormat="false" ht="21.75" hidden="false" customHeight="true" outlineLevel="0" collapsed="false">
      <c r="A30" s="2"/>
      <c r="B30" s="2"/>
      <c r="C30" s="2"/>
      <c r="D30" s="2"/>
    </row>
    <row r="31" customFormat="false" ht="21.75" hidden="false" customHeight="true" outlineLevel="0" collapsed="false">
      <c r="A31" s="2"/>
      <c r="B31" s="2"/>
      <c r="C31" s="2"/>
      <c r="D31" s="2"/>
    </row>
    <row r="32" customFormat="false" ht="21.75" hidden="false" customHeight="true" outlineLevel="0" collapsed="false">
      <c r="A32" s="2"/>
      <c r="B32" s="2"/>
      <c r="C32" s="2"/>
      <c r="D32" s="2"/>
    </row>
    <row r="34" customFormat="false" ht="21.75" hidden="false" customHeight="true" outlineLevel="0" collapsed="false">
      <c r="A34" s="2" t="s">
        <v>47</v>
      </c>
      <c r="B34" s="2"/>
      <c r="C34" s="2"/>
      <c r="D34" s="2"/>
    </row>
    <row r="35" customFormat="false" ht="21.75" hidden="false" customHeight="true" outlineLevel="0" collapsed="false">
      <c r="A35" s="2"/>
      <c r="B35" s="2"/>
      <c r="C35" s="2"/>
      <c r="D35" s="2"/>
    </row>
    <row r="36" customFormat="false" ht="21.75" hidden="false" customHeight="true" outlineLevel="0" collapsed="false">
      <c r="A36" s="2"/>
      <c r="B36" s="2"/>
      <c r="C36" s="2"/>
      <c r="D36" s="2"/>
    </row>
    <row r="37" customFormat="false" ht="21.75" hidden="false" customHeight="true" outlineLevel="0" collapsed="false">
      <c r="A37" s="2"/>
      <c r="B37" s="2"/>
      <c r="C37" s="2"/>
      <c r="D37" s="2"/>
    </row>
  </sheetData>
  <mergeCells count="5">
    <mergeCell ref="A1:D2"/>
    <mergeCell ref="A3:D4"/>
    <mergeCell ref="A24:D27"/>
    <mergeCell ref="A29:D32"/>
    <mergeCell ref="A34:D37"/>
  </mergeCells>
  <printOptions headings="false" gridLines="false" gridLinesSet="true" horizontalCentered="false" verticalCentered="false"/>
  <pageMargins left="0.3" right="0.3" top="0.35" bottom="0.35" header="0.511811023622047" footer="0.179861111111111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&amp;LCash quality&amp;RPage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21.75" customHeight="true" zeroHeight="false" outlineLevelRow="0" outlineLevelCol="0"/>
  <cols>
    <col collapsed="false" customWidth="true" hidden="false" outlineLevel="0" max="1" min="1" style="0" width="53.71"/>
    <col collapsed="false" customWidth="true" hidden="false" outlineLevel="0" max="3" min="2" style="0" width="19.71"/>
    <col collapsed="false" customWidth="true" hidden="false" outlineLevel="0" max="4" min="4" style="0" width="21.71"/>
  </cols>
  <sheetData>
    <row r="1" customFormat="false" ht="21.75" hidden="false" customHeight="true" outlineLevel="0" collapsed="false">
      <c r="A1" s="1" t="s">
        <v>48</v>
      </c>
      <c r="B1" s="1"/>
      <c r="C1" s="1"/>
      <c r="D1" s="1"/>
    </row>
    <row r="2" customFormat="false" ht="21.75" hidden="false" customHeight="true" outlineLevel="0" collapsed="false">
      <c r="A2" s="1"/>
      <c r="B2" s="1"/>
      <c r="C2" s="1"/>
      <c r="D2" s="1"/>
    </row>
    <row r="3" customFormat="false" ht="21.75" hidden="false" customHeight="true" outlineLevel="0" collapsed="false">
      <c r="A3" s="2" t="s">
        <v>1</v>
      </c>
      <c r="B3" s="2"/>
      <c r="C3" s="2"/>
      <c r="D3" s="2"/>
    </row>
    <row r="4" customFormat="false" ht="21.75" hidden="false" customHeight="true" outlineLevel="0" collapsed="false">
      <c r="A4" s="2"/>
      <c r="B4" s="2"/>
      <c r="C4" s="2"/>
      <c r="D4" s="2"/>
    </row>
    <row r="6" customFormat="false" ht="21.75" hidden="false" customHeight="true" outlineLevel="0" collapsed="false">
      <c r="A6" s="3" t="s">
        <v>49</v>
      </c>
      <c r="B6" s="11" t="n">
        <f aca="false">'Value hurdle'!B26</f>
        <v>953.46795592022</v>
      </c>
    </row>
    <row r="7" customFormat="false" ht="21.75" hidden="false" customHeight="true" outlineLevel="0" collapsed="false">
      <c r="A7" s="3" t="s">
        <v>50</v>
      </c>
      <c r="B7" s="7" t="n">
        <v>0.5</v>
      </c>
    </row>
    <row r="8" customFormat="false" ht="21.75" hidden="false" customHeight="true" outlineLevel="0" collapsed="false">
      <c r="A8" s="3" t="s">
        <v>51</v>
      </c>
      <c r="B8" s="5" t="n">
        <v>500</v>
      </c>
    </row>
    <row r="9" customFormat="false" ht="21.75" hidden="false" customHeight="true" outlineLevel="0" collapsed="false">
      <c r="A9" s="3" t="s">
        <v>52</v>
      </c>
      <c r="B9" s="5" t="n">
        <v>15</v>
      </c>
    </row>
    <row r="10" customFormat="false" ht="21.75" hidden="false" customHeight="true" outlineLevel="0" collapsed="false">
      <c r="A10" s="3" t="s">
        <v>53</v>
      </c>
      <c r="B10" s="5" t="n">
        <v>3</v>
      </c>
    </row>
    <row r="11" customFormat="false" ht="21.75" hidden="false" customHeight="true" outlineLevel="0" collapsed="false">
      <c r="A11" s="3" t="s">
        <v>54</v>
      </c>
      <c r="B11" s="12" t="n">
        <f aca="false">'Value hurdle'!B18</f>
        <v>0.1</v>
      </c>
    </row>
    <row r="12" customFormat="false" ht="21.75" hidden="false" customHeight="true" outlineLevel="0" collapsed="false">
      <c r="A12" s="3" t="s">
        <v>55</v>
      </c>
      <c r="B12" s="5" t="n">
        <v>50</v>
      </c>
    </row>
    <row r="13" customFormat="false" ht="21.75" hidden="false" customHeight="true" outlineLevel="0" collapsed="false">
      <c r="A13" s="3" t="s">
        <v>56</v>
      </c>
      <c r="B13" s="6" t="n">
        <f aca="false">IF(B11=0,B9,(1-(1+B11)^(-B9))/B11)/(1+B11)^(B10-1)</f>
        <v>6.286016120916</v>
      </c>
    </row>
    <row r="14" customFormat="false" ht="21.75" hidden="false" customHeight="true" outlineLevel="0" collapsed="false">
      <c r="A14" s="3" t="s">
        <v>57</v>
      </c>
      <c r="B14" s="6" t="n">
        <f aca="false">B12/(1+B11)^(B10+B9-1)</f>
        <v>9.89223344500675</v>
      </c>
    </row>
    <row r="15" customFormat="false" ht="21.75" hidden="false" customHeight="true" outlineLevel="0" collapsed="false">
      <c r="A15" s="3" t="s">
        <v>58</v>
      </c>
      <c r="B15" s="6" t="n">
        <f aca="false">B8*B7</f>
        <v>250</v>
      </c>
    </row>
    <row r="16" customFormat="false" ht="33.75" hidden="false" customHeight="true" outlineLevel="0" collapsed="false">
      <c r="A16" s="3" t="s">
        <v>59</v>
      </c>
      <c r="B16" s="8" t="n">
        <f aca="false">(B8+B14)/B13</f>
        <v>81.1153238612288</v>
      </c>
    </row>
    <row r="17" customFormat="false" ht="33.75" hidden="false" customHeight="true" outlineLevel="0" collapsed="false">
      <c r="A17" s="3" t="s">
        <v>60</v>
      </c>
      <c r="B17" s="8" t="n">
        <f aca="false">(MAX(0,B6)/B7+B8+B14)/B13</f>
        <v>384.47692446154</v>
      </c>
    </row>
    <row r="19" customFormat="false" ht="21.75" hidden="false" customHeight="true" outlineLevel="0" collapsed="false">
      <c r="A19" s="3" t="s">
        <v>61</v>
      </c>
      <c r="B19" s="11" t="n">
        <f aca="false">'Value hurdle'!B10</f>
        <v>373.998</v>
      </c>
    </row>
    <row r="20" customFormat="false" ht="21.75" hidden="false" customHeight="true" outlineLevel="0" collapsed="false">
      <c r="A20" s="3" t="s">
        <v>62</v>
      </c>
      <c r="B20" s="5" t="n">
        <v>100</v>
      </c>
    </row>
    <row r="21" customFormat="false" ht="21.75" hidden="false" customHeight="true" outlineLevel="0" collapsed="false">
      <c r="A21" s="3" t="s">
        <v>63</v>
      </c>
      <c r="B21" s="5" t="n">
        <v>18.73</v>
      </c>
    </row>
    <row r="22" customFormat="false" ht="21.75" hidden="false" customHeight="true" outlineLevel="0" collapsed="false">
      <c r="A22" s="3" t="s">
        <v>64</v>
      </c>
      <c r="B22" s="11" t="n">
        <f aca="false">'Value hurdle'!B11</f>
        <v>1.1</v>
      </c>
    </row>
    <row r="23" customFormat="false" ht="21.75" hidden="false" customHeight="true" outlineLevel="0" collapsed="false">
      <c r="A23" s="3" t="s">
        <v>65</v>
      </c>
      <c r="B23" s="8" t="n">
        <f aca="false">MAX(0,B19-B20-B21-B22)</f>
        <v>254.168</v>
      </c>
    </row>
    <row r="24" customFormat="false" ht="33.75" hidden="false" customHeight="true" outlineLevel="0" collapsed="false">
      <c r="A24" s="3" t="s">
        <v>66</v>
      </c>
      <c r="B24" s="8" t="n">
        <f aca="false">B23/B7</f>
        <v>508.336</v>
      </c>
    </row>
    <row r="25" customFormat="false" ht="21.75" hidden="false" customHeight="true" outlineLevel="0" collapsed="false">
      <c r="A25" s="3" t="s">
        <v>67</v>
      </c>
      <c r="B25" s="8" t="n">
        <f aca="false">MAX(0,B15-B23)</f>
        <v>0</v>
      </c>
    </row>
    <row r="26" customFormat="false" ht="21.75" hidden="false" customHeight="true" outlineLevel="0" collapsed="false">
      <c r="A26" s="3" t="s">
        <v>68</v>
      </c>
      <c r="B26" s="6" t="n">
        <f aca="false">MAX(0,B20+B21+B22-B19)</f>
        <v>0</v>
      </c>
    </row>
    <row r="28" customFormat="false" ht="33.75" hidden="false" customHeight="true" outlineLevel="0" collapsed="false">
      <c r="A28" s="3" t="s">
        <v>69</v>
      </c>
      <c r="B28" s="8" t="n">
        <f aca="false">(MAX(0,B6)/B7+B8+B14/(1+B11))/(B13/(1+B11))</f>
        <v>422.767248023257</v>
      </c>
    </row>
    <row r="29" customFormat="false" ht="33.75" hidden="false" customHeight="true" outlineLevel="0" collapsed="false">
      <c r="A29" s="3" t="s">
        <v>70</v>
      </c>
      <c r="B29" s="8" t="n">
        <f aca="false">MAX(0,B15*1.25-B23)</f>
        <v>58.332</v>
      </c>
    </row>
    <row r="31" customFormat="false" ht="21.75" hidden="false" customHeight="true" outlineLevel="0" collapsed="false">
      <c r="A31" s="2" t="s">
        <v>71</v>
      </c>
      <c r="B31" s="2"/>
      <c r="C31" s="2"/>
      <c r="D31" s="2"/>
    </row>
    <row r="32" customFormat="false" ht="21.75" hidden="false" customHeight="true" outlineLevel="0" collapsed="false">
      <c r="A32" s="2"/>
      <c r="B32" s="2"/>
      <c r="C32" s="2"/>
      <c r="D32" s="2"/>
    </row>
    <row r="33" customFormat="false" ht="21.75" hidden="false" customHeight="true" outlineLevel="0" collapsed="false">
      <c r="A33" s="2"/>
      <c r="B33" s="2"/>
      <c r="C33" s="2"/>
      <c r="D33" s="2"/>
    </row>
    <row r="34" customFormat="false" ht="21.75" hidden="false" customHeight="true" outlineLevel="0" collapsed="false">
      <c r="A34" s="2"/>
      <c r="B34" s="2"/>
      <c r="C34" s="2"/>
      <c r="D34" s="2"/>
    </row>
    <row r="36" customFormat="false" ht="21.75" hidden="false" customHeight="true" outlineLevel="0" collapsed="false">
      <c r="A36" s="2" t="s">
        <v>72</v>
      </c>
      <c r="B36" s="2"/>
      <c r="C36" s="2"/>
      <c r="D36" s="2"/>
    </row>
    <row r="37" customFormat="false" ht="21.75" hidden="false" customHeight="true" outlineLevel="0" collapsed="false">
      <c r="A37" s="2"/>
      <c r="B37" s="2"/>
      <c r="C37" s="2"/>
      <c r="D37" s="2"/>
    </row>
    <row r="38" customFormat="false" ht="21.75" hidden="false" customHeight="true" outlineLevel="0" collapsed="false">
      <c r="A38" s="2"/>
      <c r="B38" s="2"/>
      <c r="C38" s="2"/>
      <c r="D38" s="2"/>
    </row>
    <row r="39" customFormat="false" ht="21.75" hidden="false" customHeight="true" outlineLevel="0" collapsed="false">
      <c r="A39" s="2"/>
      <c r="B39" s="2"/>
      <c r="C39" s="2"/>
      <c r="D39" s="2"/>
    </row>
  </sheetData>
  <mergeCells count="4">
    <mergeCell ref="A1:D2"/>
    <mergeCell ref="A3:D4"/>
    <mergeCell ref="A31:D34"/>
    <mergeCell ref="A36:D39"/>
  </mergeCells>
  <printOptions headings="false" gridLines="false" gridLinesSet="true" horizontalCentered="false" verticalCentered="false"/>
  <pageMargins left="0.3" right="0.3" top="0.35" bottom="0.35" header="0.511811023622047" footer="0.179861111111111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&amp;LProject hurdle&amp;RPage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2026-09-20T06:29:35Z</dcterms:created>
  <dc:creator/>
  <dc:description/>
  <dc:language>en-US</dc:language>
  <cp:lastModifiedBy/>
  <dcterms:modified xsi:type="dcterms:W3CDTF">2026-09-20T06:29:35Z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