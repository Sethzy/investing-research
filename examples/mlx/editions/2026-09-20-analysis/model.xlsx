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hart1.xml" ContentType="application/vnd.openxmlformats-officedocument.drawingml.chart+xml"/>
  <Override PartName="/xl/charts/colors1.xml" ContentType="application/vnd.ms-office.chartcolorstyle+xml"/>
  <Override PartName="/xl/charts/style3.xml" ContentType="application/vnd.ms-office.chartstyle+xml"/>
  <Override PartName="/xl/charts/chart4.xml" ContentType="application/vnd.openxmlformats-officedocument.drawingml.chart+xml"/>
  <Override PartName="/xl/charts/chart3.xml" ContentType="application/vnd.openxmlformats-officedocument.drawingml.chart+xml"/>
  <Override PartName="/xl/charts/colors2.xml" ContentType="application/vnd.ms-office.chartcolorstyle+xml"/>
  <Override PartName="/xl/charts/style1.xml" ContentType="application/vnd.ms-office.chartstyle+xml"/>
  <Override PartName="/xl/charts/style4.xml" ContentType="application/vnd.ms-office.chartstyle+xml"/>
  <Override PartName="/xl/charts/colors3.xml" ContentType="application/vnd.ms-office.chartcolor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Analysis" sheetId="4" state="visible" r:id="rId6"/>
    <sheet name="Operating" sheetId="5" state="visible" r:id="rId7"/>
    <sheet name="Valuation" sheetId="6" state="visible" r:id="rId8"/>
    <sheet name="Sensitivities" sheetId="7" state="visible" r:id="rId9"/>
    <sheet name="Checks" sheetId="8" state="visible" r:id="rId10"/>
    <sheet name="Readme" sheetId="9" state="visible" r:id="rId11"/>
    <sheet name="_Model" sheetId="10" state="hidden" r:id="rId12"/>
  </sheets>
  <definedNames>
    <definedName function="false" hidden="false" localSheetId="3" name="_xlnm.Print_Area" vbProcedure="false">Analysis!$A$1:$I$52</definedName>
    <definedName function="false" hidden="false" localSheetId="1" name="_xlnm.Print_Area" vbProcedure="false">Assumptions!$A$1:$I$74</definedName>
    <definedName function="false" hidden="false" localSheetId="1" name="_xlnm.Print_Titles" vbProcedure="false">Assumptions!$1:$2</definedName>
    <definedName function="false" hidden="false" localSheetId="7" name="_xlnm.Print_Area" vbProcedure="false">Checks!$A$1:$I$46</definedName>
    <definedName function="false" hidden="false" localSheetId="2" name="_xlnm.Print_Area" vbProcedure="false">Historical!$A$1:$I$164</definedName>
    <definedName function="false" hidden="false" localSheetId="2" name="_xlnm.Print_Titles" vbProcedure="false">Historical!$1:$6</definedName>
    <definedName function="false" hidden="true" localSheetId="2" name="_xlnm._FilterDatabase" vbProcedure="false">Historical!$A$6:$I$164</definedName>
    <definedName function="false" hidden="false" localSheetId="4" name="_xlnm.Print_Area" vbProcedure="false">Operating!$A$1:$I$36</definedName>
    <definedName function="false" hidden="false" localSheetId="8" name="_xlnm.Print_Area" vbProcedure="false">Readme!$A$1:$H$97</definedName>
    <definedName function="false" hidden="false" localSheetId="6" name="_xlnm.Print_Area" vbProcedure="false">Sensitivities!$A$1:$I$46</definedName>
    <definedName function="false" hidden="false" localSheetId="0" name="_xlnm.Print_Area" vbProcedure="false">Summary!$A$1:$I$33</definedName>
    <definedName function="false" hidden="false" localSheetId="5" name="_xlnm.Print_Area" vbProcedure="false">Valuation!$A$1:$I$46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source: https://www.metalsx.com.au/wp-content/uploads/2026/08/MLX-30-June-2026-Appendix-4D-and-Half-Year-Report.pdf#page=16
rationale: Reported June 30 2026 group cash, replaces rounded quarterly balance.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8" authorId="0">
      <text>
        <r>
          <rPr>
            <sz val="10"/>
            <rFont val="Arial"/>
            <family val="2"/>
          </rPr>
          <t xml:space="preserve">unit: AUD
source: https://www.metalsx.com.au/wp-content/uploads/2026/08/MLX-30-June-2026-Appendix-4D-and-Half-Year-Report.pdf#page=16
rationale: June 30 2026 interest-bearing liabilities: current 1.003m plus noncurrent 0.097m; includes leases. Replaces December debt.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9" authorId="0">
      <text>
        <r>
          <rPr>
            <sz val="10"/>
            <rFont val="Arial"/>
            <family val="2"/>
          </rPr>
          <t xml:space="preserve">unit: AUD
source: analyst-assumption://limited-sensitivity
rationale: Exclude other investments/residual assets from this limited model; not a statement of zero economic value.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0" authorId="0">
      <text>
        <r>
          <rPr>
            <sz val="10"/>
            <rFont val="Arial"/>
            <family val="2"/>
          </rPr>
          <t xml:space="preserve">unit: shares
source: https://www.metalsx.com.au/wp-content/uploads/2026/08/MLX-30-June-2026-Appendix-4D-and-Half-Year-Report.pdf#page=27
rationale: June 30 2026 issued ordinary shares, correcting earlier 1,000-share transcription error. Basic and diluted EPS equal in interim report; issued count remains a proxy for current fully diluted shares, not a current securities reconciliation.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1" authorId="0">
      <text>
        <r>
          <rPr>
            <sz val="10"/>
            <rFont val="Arial"/>
            <family val="2"/>
          </rPr>
          <t xml:space="preserve">unit: AUD/share
source: https://stockanalysis.com/quote/asx/MLX/history/
rationale: Dated public delayed close, 18 September 2026, 16:10 AEST; checked 20 September. Not a live executable price.
author: Codex
source_id: f75a0040df7c06a15a6b2327a573cc46de3206cc80e399f9a6bafe4342c00961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3" authorId="0">
      <text>
        <r>
          <rPr>
            <sz val="10"/>
            <rFont val="Arial"/>
            <family val="2"/>
          </rPr>
          <t xml:space="preserve">unit: date
source: https://stockanalysis.com/quote/asx/MLX/history/
rationale: Displayed quote timestamp.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0"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1"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2"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39"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0"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1"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8"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9"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60"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5" authorId="0">
      <text>
        <r>
          <rPr>
            <sz val="10"/>
            <rFont val="Arial"/>
            <family val="2"/>
          </rPr>
          <t xml:space="preserve">unit: tonnes
source: https://www.metalsx.com.au/wp-content/uploads/2026/07/02_MLX_Quarterly-Report_30-June-2026_Final.pdf#page=4
rationale: Analyst shutdown sensitivity: 6 weeks from the disclosed four-to-six-week Q1 2027 hoist shutdown. Full lost output with no catch-up or stockpile offset; annual cash operating cost held unchanged. This is not company production guidance.
author: Codex</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8" authorId="0">
      <text>
        <r>
          <rPr>
            <sz val="10"/>
            <rFont val="Arial"/>
            <family val="2"/>
          </rPr>
          <t xml:space="preserve">unit: AUD/tonne
source: workbook://Assumptions/C28
rationale: Explicit workbook override; prior value 34118.556521739134.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4" authorId="0">
      <text>
        <r>
          <rPr>
            <sz val="10"/>
            <rFont val="Arial"/>
            <family val="2"/>
          </rPr>
          <t xml:space="preserve">unit: tonnes
source: workbook://Assumptions/C44
rationale: Explicit workbook override; prior value 10201.711538461539.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7" authorId="0">
      <text>
        <r>
          <rPr>
            <sz val="10"/>
            <rFont val="Arial"/>
            <family val="2"/>
          </rPr>
          <t xml:space="preserve">unit: AUD/tonne
source: workbook://Assumptions/C47
rationale: Explicit workbook override; prior value 30356.936170212764.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3" authorId="0">
      <text>
        <r>
          <rPr>
            <sz val="10"/>
            <rFont val="Arial"/>
            <family val="2"/>
          </rPr>
          <t xml:space="preserve">unit: tonnes
source: workbook://Assumptions/C63
rationale: Explicit workbook override; prior value 11460.646153846155.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6" authorId="0">
      <text>
        <r>
          <rPr>
            <sz val="10"/>
            <rFont val="Arial"/>
            <family val="2"/>
          </rPr>
          <t xml:space="preserve">unit: AUD/tonne
source: workbook://Assumptions/C66
rationale: Explicit workbook override; prior value 28238.274999999998. Prior source: https://www.metalsx.com.au/wp-content/uploads/2026/07/02_MLX_Quarterly-Report_30-June-2026_Final.pdf#page=4
author: workbook user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List>
</comments>
</file>

<file path=xl/sharedStrings.xml><?xml version="1.0" encoding="utf-8"?>
<sst xmlns="http://schemas.openxmlformats.org/spreadsheetml/2006/main" count="1514" uniqueCount="254">
  <si>
    <t xml:space="preserve">ASX:MLX  /  Summary</t>
  </si>
  <si>
    <t xml:space="preserve">Illustrative scenarios | Review assumptions before using these values</t>
  </si>
  <si>
    <t xml:space="preserve">Active scenario</t>
  </si>
  <si>
    <t xml:space="preserve">Model value per share (AUD)</t>
  </si>
  <si>
    <t xml:space="preserve">Equity value (AUD)</t>
  </si>
  <si>
    <t xml:space="preserve">Minimum cash (AUD)</t>
  </si>
  <si>
    <t xml:space="preserve">Start with the investment report for the full story. Choose a scenario on Assumptions, then explore its cash flows, valuation and sensitivities here.</t>
  </si>
  <si>
    <t xml:space="preserve">These figures illustrate the supplied assumptions, not a predicted share price. The cash chart excludes financing and dividends. Readme explains the limitations and evidence still needed.</t>
  </si>
  <si>
    <t xml:space="preserve">ASX:MLX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</si>
  <si>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</si>
  <si>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</si>
  <si>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</si>
  <si>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</si>
  <si>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</si>
  <si>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</si>
  <si>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</si>
  <si>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</si>
  <si>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</si>
  <si>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</si>
  <si>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</si>
  <si>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</si>
  <si>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</si>
  <si>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</si>
  <si>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2026-09-18</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</si>
  <si>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</si>
  <si>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</si>
  <si>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</si>
  <si>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</si>
  <si>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</si>
  <si>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</si>
  <si>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Production proxy (not payable sales)</t>
  </si>
  <si>
    <t xml:space="preserve">tonnes</t>
  </si>
  <si>
    <t xml:space="preserve">Price</t>
  </si>
  <si>
    <t xml:space="preserve">AUD/tonne</t>
  </si>
  <si>
    <t xml:space="preserve">Fx</t>
  </si>
  <si>
    <t xml:space="preserve">AUD/AUD</t>
  </si>
  <si>
    <t xml:space="preserve">Unit Cost</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</si>
  <si>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</si>
  <si>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</si>
  <si>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</si>
  <si>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</si>
  <si>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</si>
  <si>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</si>
  <si>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</si>
  <si>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</si>
  <si>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</si>
  <si>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</si>
  <si>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ASX:MLX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</si>
  <si>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</si>
  <si>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</si>
  <si>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</si>
  <si>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</si>
  <si>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</si>
  <si>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</si>
  <si>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</si>
  <si>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</si>
  <si>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</si>
  <si>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</si>
  <si>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Cash and cash equivalents</t>
  </si>
  <si>
    <t xml:space="preserve">2025-12-31</t>
  </si>
  <si>
    <t xml:space="preserve">reported / consolidated</t>
  </si>
  <si>
    <t xml:space="preserve">2026-03-25</t>
  </si>
  <si>
    <t xml:space="preserve">Open source report</t>
  </si>
  <si>
    <t xml:space="preserve">25</t>
  </si>
  <si>
    <t xml:space="preserve">Current interest bearing liabilities</t>
  </si>
  <si>
    <t xml:space="preserve">Noncurrent interest bearing liabilities</t>
  </si>
  <si>
    <t xml:space="preserve">Issued ordinary shares</t>
  </si>
  <si>
    <t xml:space="preserve">reported comparative; corrects earlier transcription / consolidated</t>
  </si>
  <si>
    <t xml:space="preserve">2026-08-28</t>
  </si>
  <si>
    <t xml:space="preserve">27</t>
  </si>
  <si>
    <t xml:space="preserve">Rehabilitation provision present value</t>
  </si>
  <si>
    <t xml:space="preserve">60</t>
  </si>
  <si>
    <t xml:space="preserve">Net operating cash flow</t>
  </si>
  <si>
    <t xml:space="preserve">FY2025</t>
  </si>
  <si>
    <t xml:space="preserve">26</t>
  </si>
  <si>
    <t xml:space="preserve">Cash paid property plant equipment</t>
  </si>
  <si>
    <t xml:space="preserve">Cash paid mine properties development</t>
  </si>
  <si>
    <t xml:space="preserve">Tin in concentrate produced</t>
  </si>
  <si>
    <t xml:space="preserve">tonnes_tin</t>
  </si>
  <si>
    <t xml:space="preserve">reported / whole_operation</t>
  </si>
  <si>
    <t xml:space="preserve">9</t>
  </si>
  <si>
    <t xml:space="preserve">Ownership interest</t>
  </si>
  <si>
    <t xml:space="preserve">2026-Q2</t>
  </si>
  <si>
    <t xml:space="preserve">2026-07-27</t>
  </si>
  <si>
    <t xml:space="preserve">2</t>
  </si>
  <si>
    <t xml:space="preserve">TTM-ended-2026-06-30</t>
  </si>
  <si>
    <t xml:space="preserve">Imputed tin price</t>
  </si>
  <si>
    <t xml:space="preserve">AUD_per_tonne_tin</t>
  </si>
  <si>
    <t xml:space="preserve">C1 cash production cost</t>
  </si>
  <si>
    <t xml:space="preserve">Imputed sales and marketing cost</t>
  </si>
  <si>
    <t xml:space="preserve">All in sustaining cost</t>
  </si>
  <si>
    <t xml:space="preserve">Capital expenditure</t>
  </si>
  <si>
    <t xml:space="preserve">3</t>
  </si>
  <si>
    <t xml:space="preserve">Sustaining capital expenditure</t>
  </si>
  <si>
    <t xml:space="preserve">Project capital expenditure</t>
  </si>
  <si>
    <t xml:space="preserve">2026-06-30</t>
  </si>
  <si>
    <t xml:space="preserve">16</t>
  </si>
  <si>
    <t xml:space="preserve">Corporate costs</t>
  </si>
  <si>
    <t xml:space="preserve">8</t>
  </si>
  <si>
    <t xml:space="preserve">Revenue</t>
  </si>
  <si>
    <t xml:space="preserve">24</t>
  </si>
  <si>
    <t xml:space="preserve">FY2024</t>
  </si>
  <si>
    <t xml:space="preserve">Cost of sales</t>
  </si>
  <si>
    <t xml:space="preserve">Gross profit</t>
  </si>
  <si>
    <t xml:space="preserve">General and administrative expenses</t>
  </si>
  <si>
    <t xml:space="preserve">Finance costs</t>
  </si>
  <si>
    <t xml:space="preserve">Profit before tax</t>
  </si>
  <si>
    <t xml:space="preserve">Income tax expense</t>
  </si>
  <si>
    <t xml:space="preserve">Net income</t>
  </si>
  <si>
    <t xml:space="preserve">2024-12-31</t>
  </si>
  <si>
    <t xml:space="preserve">Trade and other receivables</t>
  </si>
  <si>
    <t xml:space="preserve">Inventories</t>
  </si>
  <si>
    <t xml:space="preserve">Total current assets</t>
  </si>
  <si>
    <t xml:space="preserve">Total noncurrent assets</t>
  </si>
  <si>
    <t xml:space="preserve">Total assets</t>
  </si>
  <si>
    <t xml:space="preserve">Trade and other payables</t>
  </si>
  <si>
    <t xml:space="preserve">Total current liabilities</t>
  </si>
  <si>
    <t xml:space="preserve">Total noncurrent liabilities</t>
  </si>
  <si>
    <t xml:space="preserve">Total liabilities</t>
  </si>
  <si>
    <t xml:space="preserve">Total equity</t>
  </si>
  <si>
    <t xml:space="preserve">Net investing cash flow</t>
  </si>
  <si>
    <t xml:space="preserve">Net financing cash flow</t>
  </si>
  <si>
    <t xml:space="preserve">Net change in cash</t>
  </si>
  <si>
    <t xml:space="preserve">Opening cash and cash equivalents</t>
  </si>
  <si>
    <t xml:space="preserve">H1 2025</t>
  </si>
  <si>
    <t xml:space="preserve">15</t>
  </si>
  <si>
    <t xml:space="preserve">H1 2026</t>
  </si>
  <si>
    <t xml:space="preserve">17</t>
  </si>
  <si>
    <t xml:space="preserve">Capital expenditure commitments</t>
  </si>
  <si>
    <t xml:space="preserve">reported / 100% whole operation</t>
  </si>
  <si>
    <t xml:space="preserve">7</t>
  </si>
  <si>
    <t xml:space="preserve">FY2023</t>
  </si>
  <si>
    <t xml:space="preserve">2024-04-09</t>
  </si>
  <si>
    <t xml:space="preserve">22</t>
  </si>
  <si>
    <t xml:space="preserve">2023-12-31</t>
  </si>
  <si>
    <t xml:space="preserve">23</t>
  </si>
  <si>
    <t xml:space="preserve">2024-Q3</t>
  </si>
  <si>
    <t xml:space="preserve">2025-01-22</t>
  </si>
  <si>
    <t xml:space="preserve">Processed grade percent</t>
  </si>
  <si>
    <t xml:space="preserve">percent</t>
  </si>
  <si>
    <t xml:space="preserve">Mill recovery percent</t>
  </si>
  <si>
    <t xml:space="preserve">2024-Q4</t>
  </si>
  <si>
    <t xml:space="preserve">2025-Q1</t>
  </si>
  <si>
    <t xml:space="preserve">2025-07-25</t>
  </si>
  <si>
    <t xml:space="preserve">2025-Q2</t>
  </si>
  <si>
    <t xml:space="preserve">2025-Q3</t>
  </si>
  <si>
    <t xml:space="preserve">2026-01-28</t>
  </si>
  <si>
    <t xml:space="preserve">2025-Q4</t>
  </si>
  <si>
    <t xml:space="preserve">2026-Q1</t>
  </si>
  <si>
    <t xml:space="preserve">ASX:MLX  /  Analysis</t>
  </si>
  <si>
    <t xml:space="preserve">Reported history | H1 2025 versus H1 2026 | AUD millions</t>
  </si>
  <si>
    <t xml:space="preserve">Reported measure</t>
  </si>
  <si>
    <t xml:space="preserve">Change</t>
  </si>
  <si>
    <t xml:space="preserve">Net profit</t>
  </si>
  <si>
    <t xml:space="preserve">Operating cash flow</t>
  </si>
  <si>
    <t xml:space="preserve">Equipment spending</t>
  </si>
  <si>
    <t xml:space="preserve">Mine-development spending</t>
  </si>
  <si>
    <t xml:space="preserve">Investing cash flow</t>
  </si>
  <si>
    <t xml:space="preserve">Financing cash flow</t>
  </si>
  <si>
    <t xml:space="preserve">Opening cash</t>
  </si>
  <si>
    <t xml:space="preserve">Gross margin</t>
  </si>
  <si>
    <t xml:space="preserve">Cash flow / net profit</t>
  </si>
  <si>
    <t xml:space="preserve">Operating cash less mine/equipment spend</t>
  </si>
  <si>
    <t xml:space="preserve">Closing cash (reconciled)</t>
  </si>
  <si>
    <t xml:space="preserve">Cash conversion is a diagnostic, not an earnings-quality score. Cash after equipment and mine spending still precedes other investing uses and financing. Periods and ownership match; historical values are not forecasts.</t>
  </si>
  <si>
    <t xml:space="preserve">WHY PROFIT CHANGED | accounting bridge, not a price/volume attribution</t>
  </si>
  <si>
    <t xml:space="preserve">Prior net profit</t>
  </si>
  <si>
    <t xml:space="preserve">Gross profit change</t>
  </si>
  <si>
    <t xml:space="preserve">Other pre-tax changes, net</t>
  </si>
  <si>
    <t xml:space="preserve">Tax expense change</t>
  </si>
  <si>
    <t xml:space="preserve">Current net profit</t>
  </si>
  <si>
    <t xml:space="preserve">Profit bridge residual (must be zero)</t>
  </si>
  <si>
    <t xml:space="preserve">WHERE CASH WENT | current period</t>
  </si>
  <si>
    <t xml:space="preserve">Equipment and mine development</t>
  </si>
  <si>
    <t xml:space="preserve">Other investing cash flow, net</t>
  </si>
  <si>
    <t xml:space="preserve">Closing cash</t>
  </si>
  <si>
    <t xml:space="preserve">Cash bridge residual (must be zero)</t>
  </si>
  <si>
    <t xml:space="preserve">Read the report for tax effects, collection timing and capital-allocation judgments. Other pre-tax changes are an explicitly aggregated residual; their components need source review. The cash bridge is not a reconciliation from profit to operating cash.</t>
  </si>
  <si>
    <t xml:space="preserve">ASX:MLX  /  Operating</t>
  </si>
  <si>
    <t xml:space="preserve">Horizon</t>
  </si>
  <si>
    <t xml:space="preserve">Volume basis</t>
  </si>
  <si>
    <t xml:space="preserve">Annual end-of-period forecast</t>
  </si>
  <si>
    <t xml:space="preserve">Volume (see case basis)</t>
  </si>
  <si>
    <t xml:space="preserve">see case input units</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</si>
  <si>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</si>
  <si>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</si>
  <si>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</si>
  <si>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</si>
  <si>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</si>
  <si>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</si>
  <si>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</si>
  <si>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</si>
  <si>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</si>
  <si>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</si>
  <si>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ASX:MLX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</si>
  <si>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</si>
  <si>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</si>
  <si>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</si>
  <si>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</si>
  <si>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</si>
  <si>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</si>
  <si>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</si>
  <si>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ASX:MLX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</si>
  <si>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</si>
  <si>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</si>
  <si>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</si>
  <si>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</si>
  <si>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</si>
  <si>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</si>
  <si>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</si>
  <si>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</si>
  <si>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</si>
  <si>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</si>
  <si>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</si>
  <si>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ASX:MLX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</si>
  <si>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</si>
  <si>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</si>
  <si>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</si>
  <si>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</si>
  <si>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</si>
  <si>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</si>
  <si>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</si>
  <si>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ASX:MLX  /  Readme</t>
  </si>
  <si>
    <t xml:space="preserve">START HERE | Read the investment report first. Explore the detailed figures here. After changing blue assumptions, ask Codex to check the calculations and update the report. Earlier editions are retained.</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</si>
  <si>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</si>
  <si>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</si>
  <si>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</si>
  <si>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</si>
  <si>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Change blue assumptions only. Explain the evidence behind each change in the investment report, then ask Codex to validate and save a new edition.</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</si>
  <si>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</si>
  <si>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</si>
  <si>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ILLUSTRATIVE IMPUTED-REVENUE SENSITIVITY ONLY. This is not an actionable fair-value estimate or an investment recommendation.</t>
  </si>
  <si>
    <t xml:space="preserve">Production is used solely as the company-style imputed-revenue proxy (100% produced tin sold/paid); it is NOT reported payable sales. The workbook labels it production_tonnes_proxy. Realized payable sales, inventory, settlement timing and revenue must replace this proxy before valuation.</t>
  </si>
  <si>
    <t xml:space="preserve">The baseline price AUD63,760/t is the reported trailing-12-month LME-imputed price, NOT realized tin sales price. Scenario price and volume levels are analyst stress assumptions, not company guidance.</t>
  </si>
  <si>
    <t xml:space="preserv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t>
  </si>
  <si>
    <t xml:space="preserve">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t>
  </si>
  <si>
    <t xml:space="preserve">Cash 373.998m, interest-bearing liabilities 1.100m and issued shares 886,392,538 now share June 30 2026 reporting date. Shares correct a prior 1,000-share transcription error. No current securities reconciliation or post-June cash roll-forward; issued shares remain a diluted-share proxy.</t>
  </si>
  <si>
    <t xml:space="preserve">Closure is an explicit assumed AUD100m whole-operation nominal final-year payment. The reported AUD33.035m group rehabilitation provision is a present-value accounting figure, not this cash-payment estimate; actual scope/timing and other closure sites remain unmodelled.</t>
  </si>
  <si>
    <t xml:space="preserve">Capex annualizes June-quarter whole-operation AUD23.4m to AUD93.6m each model year, including both sustaining and project spend. This is a scenario assumption, not guidance. No additional AISC deduction is made.</t>
  </si>
  <si>
    <t xml:space="preserve">Annual corporate costs annualize group June-quarter AUD0.56m to AUD2.24m, deducted once after 50% attribution. Other investments/residual assets are set to zero only to exclude them from this limited sensitivity, not because they have zero economic value.</t>
  </si>
  <si>
    <t xml:space="preserve">Tax rate30% is an analyst simplifying assumption; depreciation is assumed zero and no loss carryforwards, corporate tax shields or closure deductions are modelled. No forecast working-capital changes are assumed; this is not verified operational guidance.</t>
  </si>
  <si>
    <t xml:space="preserve">Selected FY2024/FY2025 and H1 2025/H1 2026 actuals included. Half-years are not annual periods. Reported group actuals are already attributable; do not apply 50% again. These are selected historical observations, not integrated forecast statements.</t>
  </si>
  <si>
    <t xml:space="preserve">August interim moves Rentails FEED/permitting expectation to late CY2026 and FID to CY2027. No sanctioned current capex/financing plan captured; Rentails valuation excluded. The historical cash bridge includes strategic investments; no cash is assumed freely distributable.</t>
  </si>
  <si>
    <t xml:space="preserve">Dated delayed reference quote AUD2.15 at 18 September 2026 16:10 AEST, from Stock Analysis/S&amp;P Global. Quote context does not turn illustrative values into price targets. June issued shares remain a diluted-share proxy; no complete post-June securities reconciliation.</t>
  </si>
  <si>
    <t xml:space="preserve">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t>
  </si>
  <si>
    <t xml:space="preserve">Annual periods 2027 onward are simplified period-end flows discounted one year onward; no remaining-2026 stub or exact monthly cash timing. Selected historical lines and operating data do not establish a supported payable-sales forecast.</t>
  </si>
  <si>
    <t xml:space="preserve">investing-excel-v1</t>
  </si>
  <si>
    <t xml:space="preserve">{"schema_version":1,"presentation_version":3,"baseline":{"company_id":"asx-mlx","model_type":"finite_mine","purpose":"illustrative_sensitivity","synthetic":false,"currency":"AUD","valuation_date":"2026-09-20","reference_price":2.15,"quote_date":"2026-09-18","cash":373998000,"debt":1100000,"other_assets":0,"diluted_shares":886392538,"historical":[{"entity":"Metals X Group","metric":"cash_and_cash_equivalents","value":293606000.0,"unit":"AUD","currency":"AUD","period":"2025-12-31","publication_date":"2026-03-25","source":"https://www.metalsx.com.au/wp-content/uploads/2026/03/MLX-Annual-Report-31-December-2025.pdf#page=25","page":"25","basis":"reported","ownership_basis":"consolidated"},{"entity":"Metals X Group","metric":"current_interest_bearing_liabilities","value":2849000.0,"unit":"AUD","currency":"AUD","period":"2025-12-31","publication_date":"2026-03-25","source":"https://www.metalsx.com.au/wp-content/uploads/2026/03/MLX-Annual-Report-31-December-2025.pdf#page=25","page":"25","basis":"reported","ownership_basis":"consolidated"},{"entity":"Metals X Group","metric":"noncurrent_interest_bearing_liabilities","value":436000.0,"unit":"AUD","currency":"AUD","period":"2025-12-31","publication_date":"2026-03-25","source":"https://www.metalsx.com.au/wp-content/uploads/2026/03/MLX-Annual-Report-31-December-2025.pdf#page=25","page":"25","basis":"reported","ownership_basis":"consolidated"},{"entity":"Metals X Limited","metric":"issued_ordinary_shares","value":886392538,"unit":"shares","currency":null,"period":"2025-12-31","publication_date":"2026-08-28","source":"https://www.metalsx.com.au/wp-content/uploads/2026/08/MLX-30-June-2026-Appendix-4D-and-Half-Year-Report.pdf#page=27","page":"27","basis":"reported comparative; corrects earlier transcription","ownership_basis":"consolidated"},{"entity":"Metals X Group","metric":"rehabilitation_provision_present_value","value":33035000.0,"unit":"AUD","currency":"AUD","period":"2025-12-31","publication_date":"2026-03-25","source":"https://www.metalsx.com.au/wp-content/uploads/2026/03/MLX-Annual-Report-31-December-2025.pdf#page=60","page":"60","basis":"reported","ownership_basis":"consolidated"},{"entity":"Metals X Group","metric":"net_operating_cash_flow","value":128323000.0,"unit":"AUD","currency":"AUD","period":"FY2025","publication_date":"2026-03-25","source":"https://www.metalsx.com.au/wp-content/uploads/2026/03/MLX-Annual-Report-31-December-2025.pdf#page=26","page":"26","basis":"reported","ownership_basis":"consolidated"},{"entity":"Metals X Group","metric":"cash_paid_property_plant_equipment","value":13747000.0,"unit":"AUD","currency":"AUD","period":"FY2025","publication_date":"2026-03-25","source":"https://www.metalsx.com.au/wp-content/uploads/2026/03/MLX-Annual-Report-31-December-2025.pdf#page=26","page":"26","basis":"reported","ownership_basis":"consolidated"},{"entity":"Metals X Group","metric":"cash_paid_mine_properties_development","value":22211000.0,"unit":"AUD","currency":"AUD","period":"FY2025","publication_date":"2026-03-25","source":"https://www.metalsx.com.au/wp-content/uploads/2026/03/MLX-Annual-Report-31-December-2025.pdf#page=26","page":"26","basis":"reported","ownership_basis":"consolidated"},{"entity":"Renison Tin Operation","metric":"tin_in_concentrate_produced","value":10748.0,"unit":"tonnes_tin","currency":null,"period":"FY2025","publication_date":"2026-03-25","source":"https://www.metalsx.com.au/wp-content/uploads/2026/03/MLX-Annual-Report-31-December-2025.pdf#page=9","page":"9","basis":"reported","ownership_basis":"whole_operation"},{"entity":"Renison Tin Operation","metric":"ownership_interest","value":0.5,"unit":"fraction","currency":null,"period":"2026-Q2","publication_date":"2026-07-27","source":"https://www.metalsx.com.au/wp-content/uploads/2026/07/02_MLX_Quarterly-Report_30-June-2026_Final.pdf#page=2","page":"2","basis":"reported","ownership_basis":"whole_operation"},{"entity":"Renison Tin Operation","metric":"tin_in_concentrate_produced","value":2809.0,"unit":"tonnes_tin","currency":null,"period":"2026-Q2","publication_date":"2026-07-27","source":"https://www.metalsx.com.au/wp-content/uploads/2026/07/02_MLX_Quarterly-Report_30-June-2026_Final.pdf#page=2","page":"2","basis":"reported","ownership_basis":"whole_operation"},{"entity":"Renison Tin Operation","metric":"tin_in_concentrate_produced","value":11287.0,"unit":"tonnes_tin","currency":null,"period":"TTM-ended-2026-06-30","publication_date":"2026-07-27","source":"https://www.metalsx.com.au/wp-content/uploads/2026/07/02_MLX_Quarterly-Report_30-June-2026_Final.pdf#page=2","page":"2","basis":"reported","ownership_basis":"whole_operation"},{"entity":"Renison Tin Operation","metric":"imputed_tin_price","value":73834.0,"unit":"AUD_per_tonne_tin","currency":"AUD","period":"2026-Q2","publication_date":"2026-07-27","source":"https://www.metalsx.com.au/wp-content/uploads/2026/07/02_MLX_Quarterly-Report_30-June-2026_Final.pdf#page=2","page":"2","basis":"reported","ownership_basis":"whole_operation"},{"entity":"Renison Tin Operation","metric":"imputed_tin_price","value":63760.0,"unit":"AUD_per_tonne_tin","currency":"AUD","period":"TTM-ended-2026-06-30","publication_date":"2026-07-27","source":"https://www.metalsx.com.au/wp-content/uploads/2026/07/02_MLX_Quarterly-Report_30-June-2026_Final.pdf#page=2","page":"2","basis":"reported","ownership_basis":"whole_operation"},{"entity":"Renison Tin Operation","metric":"c1_cash_production_cost","value":20251.0,"unit":"AUD_per_tonne_tin","currency":"AUD","period":"2026-Q2","publication_date":"2026-07-27","source":"https://www.metalsx.com.au/wp-content/uploads/2026/07/02_MLX_Quarterly-Report_30-June-2026_Final.pdf#page=2","page":"2","basis":"reported","ownership_basis":"whole_operation"},{"entity":"Renison Tin Operation","metric":"c1_cash_production_cost","value":19349.0,"unit":"AUD_per_tonne_tin","currency":"AUD","period":"TTM-ended-2026-06-30","publication_date":"2026-07-27","source":"https://www.metalsx.com.au/wp-content/uploads/2026/07/02_MLX_Quarterly-Report_30-June-2026_Final.pdf#page=2","page":"2","basis":"reported","ownership_basis":"whole_operation"},{"entity":"Renison Tin Operation","metric":"imputed_sales_and_marketing_cost","value":8758.0,"unit":"AUD_per_tonne_tin","currency":"AUD","period":"2026-Q2","publication_date":"2026-07-27","source":"https://www.metalsx.com.au/wp-content/uploads/2026/07/02_MLX_Quarterly-Report_30-June-2026_Final.pdf#page=2","page":"2","basis":"reported","ownership_basis":"whole_operation"},{"entity":"Renison Tin Operation","metric":"all_in_sustaining_cost","value":34865.0,"unit":"AUD_per_tonne_tin","currency":"AUD","period":"2026-Q2","publication_date":"2026-07-27","source":"https://www.metalsx.com.au/wp-content/uploads/2026/07/02_MLX_Quarterly-Report_30-June-2026_Final.pdf#page=2","page":"2","basis":"reported","ownership_basis":"whole_operation"},{"entity":"Renison Tin Operation","metric":"capital_expenditure","value":23400000.0,"unit":"AUD","currency":"AUD","period":"2026-Q2","publication_date":"2026-07-27","source":"https://www.metalsx.com.au/wp-content/uploads/2026/07/02_MLX_Quarterly-Report_30-June-2026_Final.pdf#page=3","page":"3","basis":"reported","ownership_basis":"whole_operation"},{"entity":"Renison Tin Operation","metric":"sustaining_capital_expenditure","value":16450000.0,"unit":"AUD","currency":"AUD","period":"2026-Q2","publication_date":"2026-07-27","source":"https://www.metalsx.com.au/wp-content/uploads/2026/07/02_MLX_Quarterly-Report_30-June-2026_Final.pdf#page=3","page":"3","basis":"reported","ownership_basis":"whole_operation"},{"entity":"Renison Tin Operation","metric":"project_capital_expenditure","value":6950000.0,"unit":"AUD","currency":"AUD","period":"2026-Q2","publication_date":"2026-07-27","source":"https://www.metalsx.com.au/wp-content/uploads/2026/07/02_MLX_Quarterly-Report_30-June-2026_Final.pdf#page=3","page":"3","basis":"reported","ownership_basis":"whole_operation"},{"entity":"Metals X Group","metric":"cash_and_cash_equivalents","value":373998000,"unit":"AUD","currency":"AUD","period":"2026-06-30","publication_date":"2026-08-28","source":"https://www.metalsx.com.au/wp-content/uploads/2026/08/MLX-30-June-2026-Appendix-4D-and-Half-Year-Report.pdf#page=16","page":"16","basis":"reported","ownership_basis":"consolidated"},{"entity":"Metals X Group","metric":"corporate_costs","value":560000.0,"unit":"AUD","currency":"AUD","period":"2026-Q2","publication_date":"2026-07-27","source":"https://www.metalsx.com.au/wp-content/uploads/2026/07/02_MLX_Quarterly-Report_30-June-2026_Final.pdf#page=8","page":"8","basis":"reported","ownership_basis":"consolidated"},{"entity":"Metals X Group","metric":"revenue","value":284999000.0,"unit":"AUD","currency":"AUD","period":"FY2025","publication_date":"2026-03-25","source":"https://www.metalsx.com.au/wp-content/uploads/2026/03/MLX-Annual-Report-31-December-2025.pdf#page=24","page":"24","basis":"reported","ownership_basis":"consolidated"},{"entity":"Metals X Group","metric":"revenue","value":218820000.0,"unit":"AUD","currency":"AUD","period":"FY2024","publication_date":"2026-03-25","source":"https://www.metalsx.com.au/wp-content/uploads/2026/03/MLX-Annual-Report-31-December-2025.pdf#page=24","page":"24","basis":"reported","ownership_basis":"consolidated"},{"entity":"Metals X Group","metric":"cost_of_sales","value":158275000.0,"unit":"AUD","currency":"AUD","period":"FY2025","publication_date":"2026-03-25","source":"https://www.metalsx.com.au/wp-content/uploads/2026/03/MLX-Annual-Report-31-December-2025.pdf#page=24","page":"24","basis":"reported","ownership_basis":"consolidated"},{"entity":"Metals X Group","metric":"cost_of_sales","value":123558000.0,"unit":"AUD","currency":"AUD","period":"FY2024","publication_date":"2026-03-25","source":"https://www.metalsx.com.au/wp-content/uploads/2026/03/MLX-Annual-Report-31-December-2025.pdf#page=24","page":"24","basis":"reported","ownership_basis":"consolidated"},{"entity":"Metals X Group","metric":"gross_profit","value":126724000.0,"unit":"AUD","currency":"AUD","period":"FY2025","publication_date":"2026-03-25","source":"https://www.metalsx.com.au/wp-content/uploads/2026/03/MLX-Annual-Report-31-December-2025.pdf#page=24","page":"24","basis":"reported","ownership_basis":"consolidated"},{"entity":"Metals X Group","metric":"gross_profit","value":95262000.0,"unit":"AUD","currency":"AUD","period":"FY2024","publication_date":"2026-03-25","source":"https://www.metalsx.com.au/wp-content/uploads/2026/03/MLX-Annual-Report-31-December-2025.pdf#page=24","page":"24","basis":"reported","ownership_basis":"consolidated"},{"entity":"Metals X Group","metric":"general_and_administrative_expenses","value":4212000.0,"unit":"AUD","currency":"AUD","period":"FY2025","publication_date":"2026-03-25","source":"https://www.metalsx.com.au/wp-content/uploads/2026/03/MLX-Annual-Report-31-December-2025.pdf#page=24","page":"24","basis":"reported","ownership_basis":"consolidated"},{"entity":"Metals X Group","metric":"general_and_administrative_expenses","value":2744000.0,"unit":"AUD","currency":"AUD","period":"FY2024","publication_date":"2026-03-25","source":"https://www.metalsx.com.au/wp-content/uploads/2026/03/MLX-Annual-Report-31-December-2025.pdf#page=24","page":"24","basis":"reported","ownership_basis":"consolidated"},{"entity":"Metals X Group","metric":"finance_costs","value":980000.0,"unit":"AUD","currency":"AUD","period":"FY2025","publication_date":"2026-03-25","source":"https://www.metalsx.com.au/wp-content/uploads/2026/03/MLX-Annual-Report-31-December-2025.pdf#page=24","page":"24","basis":"reported","ownership_basis":"consolidated"},{"entity":"Metals X Group","metric":"finance_costs","value":566000.0,"unit":"AUD","currency":"AUD","period":"FY2024","publication_date":"2026-03-25","source":"https://www.metalsx.com.au/wp-content/uploads/2026/03/MLX-Annual-Report-31-December-2025.pdf#page=24","page":"24","basis":"reported","ownership_basis":"consolidated"},{"entity":"Metals X Group","metric":"profit_before_tax","value":138275000.0,"unit":"AUD","currency":"AUD","period":"FY2025","publication_date":"2026-03-25","source":"https://www.metalsx.com.au/wp-content/uploads/2026/03/MLX-Annual-Report-31-December-2025.pdf#page=24","page":"24","basis":"reported","ownership_basis":"consolidated"},{"entity":"Metals X Group","metric":"profit_before_tax","value":120227000.0,"unit":"AUD","currency":"AUD","period":"FY2024","publication_date":"2026-03-25","source":"https://www.metalsx.com.au/wp-content/uploads/2026/03/MLX-Annual-Report-31-December-2025.pdf#page=24","page":"24","basis":"reported","ownership_basis":"consolidated"},{"entity":"Metals X Group","metric":"income_tax_expense","value":33670000.0,"unit":"AUD","currency":"AUD","period":"FY2025","publication_date":"2026-03-25","source":"https://www.metalsx.com.au/wp-content/uploads/2026/03/MLX-Annual-Report-31-December-2025.pdf#page=24","page":"24","basis":"reported","ownership_basis":"consolidated"},{"entity":"Metals X Group","metric":"income_tax_expense","value":17878000.0,"unit":"AUD","currency":"AUD","period":"FY2024","publication_date":"2026-03-25","source":"https://www.metalsx.com.au/wp-content/uploads/2026/03/MLX-Annual-Report-31-December-2025.pdf#page=24","page":"24","basis":"reported","ownership_basis":"consolidated"},{"entity":"Metals X Group","metric":"net_income","value":104605000.0,"unit":"AUD","currency":"AUD","period":"FY2025","publication_date":"2026-03-25","source":"https://www.metalsx.com.au/wp-content/uploads/2026/03/MLX-Annual-Report-31-December-2025.pdf#page=24","page":"24","basis":"reported","ownership_basis":"consolidated"},{"entity":"Metals X Group","metric":"net_income","value":102349000.0,"unit":"AUD","currency":"AUD","period":"FY2024","publication_date":"2026-03-25","source":"https://www.metalsx.com.au/wp-content/uploads/2026/03/MLX-Annual-Report-31-December-2025.pdf#page=24","page":"24","basis":"reported","ownership_basis":"consolidated"},{"entity":"Metals X Group","metric":"cash_and_cash_equivalents","value":220644000.0,"unit":"AUD","currency":"AUD","period":"2024-12-31","publication_date":"2026-03-25","source":"https://www.metalsx.com.au/wp-content/uploads/2026/03/MLX-Annual-Report-31-December-2025.pdf#page=25","page":"25","basis":"reported","ownership_basis":"consolidated"},{"entity":"Metals X Group","metric":"trade_and_other_receivables","value":36473000.0,"unit":"AUD","currency":"AUD","period":"2025-12-31","publication_date":"2026-03-25","source":"https://www.metalsx.com.au/wp-content/uploads/2026/03/MLX-Annual-Report-31-December-2025.pdf#page=25","page":"25","basis":"reported","ownership_basis":"consolidated"},{"entity":"Metals X Group","metric":"trade_and_other_receivables","value":8666000.0,"unit":"AUD","currency":"AUD","period":"2024-12-31","publication_date":"2026-03-25","source":"https://www.metalsx.com.au/wp-content/uploads/2026/03/MLX-Annual-Report-31-December-2025.pdf#page=25","page":"25","basis":"reported","ownership_basis":"consolidated"},{"entity":"Metals X Group","metric":"inventories","value":29488000.0,"unit":"AUD","currency":"AUD","period":"2025-12-31","publication_date":"2026-03-25","source":"https://www.metalsx.com.au/wp-content/uploads/2026/03/MLX-Annual-Report-31-December-2025.pdf#page=25","page":"25","basis":"reported","ownership_basis":"consolidated"},{"entity":"Metals X Group","metric":"inventories","value":37573000.0,"unit":"AUD","currency":"AUD","period":"2024-12-31","publication_date":"2026-03-25","source":"https://www.metalsx.com.au/wp-content/uploads/2026/03/MLX-Annual-Report-31-December-2025.pdf#page=25","page":"25","basis":"reported","ownership_basis":"consolidated"},{"entity":"Metals X Group","metric":"total_current_assets","value":363459000.0,"unit":"AUD","currency":"AUD","period":"2025-12-31","publication_date":"2026-03-25","source":"https://www.metalsx.com.au/wp-content/uploads/2026/03/MLX-Annual-Report-31-December-2025.pdf#page=25","page":"25","basis":"reported","ownership_basis":"consolidated"},{"entity":"Metals X Group","metric":"total_current_assets","value":271243000.0,"unit":"AUD","currency":"AUD","period":"2024-12-31","publication_date":"2026-03-25","source":"https://www.metalsx.com.au/wp-content/uploads/2026/03/MLX-Annual-Report-31-December-2025.pdf#page=25","page":"25","basis":"reported","ownership_basis":"consolidated"},{"entity":"Metals X Group","metric":"total_noncurrent_assets","value":255050000.0,"unit":"AUD","currency":"AUD","period":"2025-12-31","publication_date":"2026-03-25","source":"https://www.metalsx.com.au/wp-content/uploads/2026/03/MLX-Annual-Report-31-December-2025.pdf#page=25","page":"25","basis":"reported","ownership_basis":"consolidated"},{"entity":"Metals X Group","metric":"total_noncurrent_assets","value":233789000.0,"unit":"AUD","currency":"AUD","period":"2024-12-31","publication_date":"2026-03-25","source":"https://www.metalsx.com.au/wp-content/uploads/2026/03/MLX-Annual-Report-31-December-2025.pdf#page=25","page":"25","basis":"reported","ownership_basis":"consolidated"},{"entity":"Metals X Group","metric":"total_assets","value":618509000.0,"unit":"AUD","currency":"AUD","period":"2025-12-31","publication_date":"2026-03-25","source":"https://www.metalsx.com.au/wp-content/uploads/2026/03/MLX-Annual-Report-31-December-2025.pdf#page=25","page":"25","basis":"reported","ownership_basis":"consolidated"},{"entity":"Metals X Group","metric":"total_assets","value":505032000.0,"unit":"AUD","currency":"AUD","period":"2024-12-31","publication_date":"2026-03-25","source":"https://www.metalsx.com.au/wp-content/uploads/2026/03/MLX-Annual-Report-31-December-2025.pdf#page=25","page":"25","basis":"reported","ownership_basis":"consolidated"},{"entity":"Metals X Group","metric":"trade_and_other_payables","value":17091000.0,"unit":"AUD","currency":"AUD","period":"2025-12-31","publication_date":"2026-03-25","source":"https://www.metalsx.com.au/wp-content/uploads/2026/03/MLX-Annual-Report-31-December-2025.pdf#page=25","page":"25","basis":"reported","ownership_basis":"consolidated"},{"entity":"Metals X Group","metric":"trade_and_other_payables","value":20972000.0,"unit":"AUD","currency":"AUD","period":"2024-12-31","publication_date":"2026-03-25","source":"https://www.metalsx.com.au/wp-content/uploads/2026/03/MLX-Annual-Report-31-December-2025.pdf#page=25","page":"25","basis":"reported","ownership_basis":"consolidated"},{"entity":"Metals X Group","metric":"current_interest_bearing_liabilities","value":3645000.0,"unit":"AUD","currency":"AUD","period":"2024-12-31","publication_date":"2026-03-25","source":"https://www.metalsx.com.au/wp-content/uploads/2026/03/MLX-Annual-Report-31-December-2025.pdf#page=25","page":"25","basis":"reported","ownership_basis":"consolidated"},{"entity":"Metals X Group","metric":"noncurrent_interest_bearing_liabilities","value":2508000.0,"unit":"AUD","currency":"AUD","period":"2024-12-31","publication_date":"2026-03-25","source":"https://www.metalsx.com.au/wp-content/uploads/2026/03/MLX-Annual-Report-31-December-2025.pdf#page=25","page":"25","basis":"reported","ownership_basis":"consolidated"},{"entity":"Metals X Group","metric":"total_current_liabilities","value":51679000.0,"unit":"AUD","currency":"AUD","period":"2025-12-31","publication_date":"2026-03-25","source":"https://www.metalsx.com.au/wp-content/uploads/2026/03/MLX-Annual-Report-31-December-2025.pdf#page=25","page":"25","basis":"reported","ownership_basis":"consolidated"},{"entity":"Metals X Group","metric":"total_current_liabilities","value":43857000.0,"unit":"AUD","currency":"AUD","period":"2024-12-31","publication_date":"2026-03-25","source":"https://www.metalsx.com.au/wp-content/uploads/2026/03/MLX-Annual-Report-31-December-2025.pdf#page=25","page":"25","basis":"reported","ownership_basis":"consolidated"},{"entity":"Metals X Group","metric":"total_noncurrent_liabilities","value":34297000.0,"unit":"AUD","currency":"AUD","period":"2025-12-31","publication_date":"2026-03-25","source":"https://www.metalsx.com.au/wp-content/uploads/2026/03/MLX-Annual-Report-31-December-2025.pdf#page=25","page":"25","basis":"reported","ownership_basis":"consolidated"},{"entity":"Metals X Group","metric":"total_noncurrent_liabilities","value":33401000.0,"unit":"AUD","currency":"AUD","period":"2024-12-31","publication_date":"2026-03-25","source":"https://www.metalsx.com.au/wp-content/uploads/2026/03/MLX-Annual-Report-31-December-2025.pdf#page=25","page":"25","basis":"reported","ownership_basis":"consolidated"},{"entity":"Metals X Group","metric":"total_liabilities","value":85976000.0,"unit":"AUD","currency":"AUD","period":"2025-12-31","publication_date":"2026-03-25","source":"https://www.metalsx.com.au/wp-content/uploads/2026/03/MLX-Annual-Report-31-December-2025.pdf#page=25","page":"25","basis":"reported","ownership_basis":"consolidated"},{"entity":"Metals X Group","metric":"total_liabilities","value":77258000.0,"unit":"AUD","currency":"AUD","period":"2024-12-31","publication_date":"2026-03-25","source":"https://www.metalsx.com.au/wp-content/uploads/2026/03/MLX-Annual-Report-31-December-2025.pdf#page=25","page":"25","basis":"reported","ownership_basis":"consolidated"},{"entity":"Metals X Group","metric":"total_equity","value":532533000.0,"unit":"AUD","currency":"AUD","period":"2025-12-31","publication_date":"2026-03-25","source":"https://www.metalsx.com.au/wp-content/uploads/2026/03/MLX-Annual-Report-31-December-2025.pdf#page=25","page":"25","basis":"reported","ownership_basis":"consolidated"},{"entity":"Metals X Group","metric":"total_equity","value":427774000.0,"unit":"AUD","currency":"AUD","period":"2024-12-31","publication_date":"2026-03-25","source":"https://www.metalsx.com.au/wp-content/uploads/2026/03/MLX-Annual-Report-31-December-2025.pdf#page=25","page":"25","basis":"reported","ownership_basis":"consolidated"},{"entity":"Metals X Group","metric":"net_operating_cash_flow","value":143567000.0,"unit":"AUD","currency":"AUD","period":"FY2024","publication_date":"2026-03-25","source":"https://www.metalsx.com.au/wp-content/uploads/2026/03/MLX-Annual-Report-31-December-2025.pdf#page=26","page":"26","basis":"reported","ownership_basis":"consolidated"},{"entity":"Metals X Group","metric":"cash_paid_property_plant_equipment","value":17425000.0,"unit":"AUD","currency":"AUD","period":"FY2024","publication_date":"2026-03-25","source":"https://www.metalsx.com.au/wp-content/uploads/2026/03/MLX-Annual-Report-31-December-2025.pdf#page=26","page":"26","basis":"reported","ownership_basis":"consolidated"},{"entity":"Metals X Group","metric":"cash_paid_mine_properties_development","value":22511000.0,"unit":"AUD","currency":"AUD","period":"FY2024","publication_date":"2026-03-25","source":"https://www.metalsx.com.au/wp-content/uploads/2026/03/MLX-Annual-Report-31-December-2025.pdf#page=26","page":"26","basis":"reported","ownership_basis":"consolidated"},{"entity":"Metals X Group","metric":"net_investing_cash_flow","value":-52493000.0,"unit":"AUD","currency":"AUD","period":"FY2025","publication_date":"2026-03-25","source":"https://www.metalsx.com.au/wp-content/uploads/2026/03/MLX-Annual-Report-31-December-2025.pdf#page=26","page":"26","basis":"reported","ownership_basis":"consolidated"},{"entity":"Metals X Group","metric":"net_investing_cash_flow","value":-55453000.0,"unit":"AUD","currency":"AUD","period":"FY2024","publication_date":"2026-03-25","source":"https://www.metalsx.com.au/wp-content/uploads/2026/03/MLX-Annual-Report-31-December-2025.pdf#page=26","page":"26","basis":"reported","ownership_basis":"consolidated"},{"entity":"Metals X Group","metric":"net_financing_cash_flow","value":-2868000.0,"unit":"AUD","currency":"AUD","period":"FY2025","publication_date":"2026-03-25","source":"https://www.metalsx.com.au/wp-content/uploads/2026/03/MLX-Annual-Report-31-December-2025.pdf#page=26","page":"26","basis":"reported","ownership_basis":"consolidated"},{"entity":"Metals X Group","metric":"net_financing_cash_flow","value":-10512000.0,"unit":"AUD","currency":"AUD","period":"FY2024","publication_date":"2026-03-25","source":"https://www.metalsx.com.au/wp-content/uploads/2026/03/MLX-Annual-Report-31-December-2025.pdf#page=26","page":"26","basis":"reported","ownership_basis":"consolidated"},{"entity":"Metals X Group","metric":"net_change_in_cash","value":72962000.0,"unit":"AUD","currency":"AUD","period":"FY2025","publication_date":"2026-03-25","source":"https://www.metalsx.com.au/wp-content/uploads/2026/03/MLX-Annual-Report-31-December-2025.pdf#page=26","page":"26","basis":"reported","ownership_basis":"consolidated"},{"entity":"Metals X Group","metric":"net_change_in_cash","value":77602000.0,"unit":"AUD","currency":"AUD","period":"FY2024","publication_date":"2026-03-25","source":"https://www.metalsx.com.au/wp-content/uploads/2026/03/MLX-Annual-Report-31-December-2025.pdf#page=26","page":"26","basis":"reported","ownership_basis":"consolidated"},{"entity":"Metals X Group","metric":"opening_cash_and_cash_equivalents","value":220644000.0,"unit":"AUD","currency":"AUD","period":"FY2025","publication_date":"2026-03-25","source":"https://www.metalsx.com.au/wp-content/uploads/2026/03/MLX-Annual-Report-31-December-2025.pdf#page=26","page":"26","basis":"reported","ownership_basis":"consolidated"},{"entity":"Metals X Group","metric":"opening_cash_and_cash_equivalents","value":143042000.0,"unit":"AUD","currency":"AUD","period":"FY2024","publication_date":"2026-03-25","source":"https://www.metalsx.com.au/wp-content/uploads/2026/03/MLX-Annual-Report-31-December-2025.pdf#page=26","page":"26","basis":"reported","ownership_basis":"consolidated"},{"entity":"Metals X Group","metric":"revenue","value":147539000,"unit":"AUD","currency":"AUD","period":"H1 2025","publication_date":"2026-08-28","source":"https://www.metalsx.com.au/wp-content/uploads/2026/08/MLX-30-June-2026-Appendix-4D-and-Half-Year-Report.pdf#page=15","page":"15","basis":"reported","ownership_basis":"consolidated"},{"entity":"Metals X Group","metric":"revenue","value":204729000,"unit":"AUD","currency":"AUD","period":"H1 2026","publication_date":"2026-08-28","source":"https://www.metalsx.com.au/wp-content/uploads/2026/08/MLX-30-June-2026-Appendix-4D-and-Half-Year-Report.pdf#page=15","page":"15","basis":"reported","ownership_basis":"consolidated"},{"entity":"Metals X Group","metric":"cost_of_sales","value":83833000,"unit":"AUD","currency":"AUD","period":"H1 2025","publication_date":"2026-08-28","source":"https://www.metalsx.com.au/wp-content/uploads/2026/08/MLX-30-June-2026-Appendix-4D-and-Half-Year-Report.pdf#page=15","page":"15","basis":"reported","ownership_basis":"consolidated"},{"entity":"Metals X Group","metric":"cost_of_sales","value":81387000,"unit":"AUD","currency":"AUD","period":"H1 2026","publication_date":"2026-08-28","source":"https://www.metalsx.com.au/wp-content/uploads/2026/08/MLX-30-June-2026-Appendix-4D-and-Half-Year-Report.pdf#page=15","page":"15","basis":"reported","ownership_basis":"consolidated"},{"entity":"Metals X Group","metric":"gross_profit","value":63706000,"unit":"AUD","currency":"AUD","period":"H1 2025","publication_date":"2026-08-28","source":"https://www.metalsx.com.au/wp-content/uploads/2026/08/MLX-30-June-2026-Appendix-4D-and-Half-Year-Report.pdf#page=15","page":"15","basis":"reported","ownership_basis":"consolidated"},{"entity":"Metals X Group","metric":"gross_profit","value":123342000,"unit":"AUD","currency":"AUD","period":"H1 2026","publication_date":"2026-08-28","source":"https://www.metalsx.com.au/wp-content/uploads/2026/08/MLX-30-June-2026-Appendix-4D-and-Half-Year-Report.pdf#page=15","page":"15","basis":"reported","ownership_basis":"consolidated"},{"entity":"Metals X Group","metric":"profit_before_tax","value":73176000,"unit":"AUD","currency":"AUD","period":"H1 2025","publication_date":"2026-08-28","source":"https://www.metalsx.com.au/wp-content/uploads/2026/08/MLX-30-June-2026-Appendix-4D-and-Half-Year-Report.pdf#page=15","page":"15","basis":"reported","ownership_basis":"consolidated"},{"entity":"Metals X Group","metric":"profit_before_tax","value":128601000,"unit":"AUD","currency":"AUD","period":"H1 2026","publication_date":"2026-08-28","source":"https://www.metalsx.com.au/wp-content/uploads/2026/08/MLX-30-June-2026-Appendix-4D-and-Half-Year-Report.pdf#page=15","page":"15","basis":"reported","ownership_basis":"consolidated"},{"entity":"Metals X Group","metric":"income_tax_expense","value":20228000,"unit":"AUD","currency":"AUD","period":"H1 2025","publication_date":"2026-08-28","source":"https://www.metalsx.com.au/wp-content/uploads/2026/08/MLX-30-June-2026-Appendix-4D-and-Half-Year-Report.pdf#page=15","page":"15","basis":"reported","ownership_basis":"consolidated"},{"entity":"Metals X Group","metric":"income_tax_expense","value":24696000,"unit":"AUD","currency":"AUD","period":"H1 2026","publication_date":"2026-08-28","source":"https://www.metalsx.com.au/wp-content/uploads/2026/08/MLX-30-June-2026-Appendix-4D-and-Half-Year-Report.pdf#page=15","page":"15","basis":"reported","ownership_basis":"consolidated"},{"entity":"Metals X Group","metric":"net_income","value":52948000,"unit":"AUD","currency":"AUD","period":"H1 2025","publication_date":"2026-08-28","source":"https://www.metalsx.com.au/wp-content/uploads/2026/08/MLX-30-June-2026-Appendix-4D-and-Half-Year-Report.pdf#page=15","page":"15","basis":"reported","ownership_basis":"consolidated"},{"entity":"Metals X Group","metric":"net_income","value":103905000,"unit":"AUD","currency":"AUD","period":"H1 2026","publication_date":"2026-08-28","source":"https://www.metalsx.com.au/wp-content/uploads/2026/08/MLX-30-June-2026-Appendix-4D-and-Half-Year-Report.pdf#page=15","page":"15","basis":"reported","ownership_basis":"consolidated"},{"entity":"Metals X Group","metric":"net_operating_cash_flow","value":64274000,"unit":"AUD","currency":"AUD","period":"H1 2025","publication_date":"2026-08-28","source":"https://www.metalsx.com.au/wp-content/uploads/2026/08/MLX-30-June-2026-Appendix-4D-and-Half-Year-Report.pdf#page=17","page":"17","basis":"reported","ownership_basis":"consolidated"},{"entity":"Metals X Group","</t>
  </si>
  <si>
    <t xml:space="preserve">metric":"net_operating_cash_flow","value":126515000,"unit":"AUD","currency":"AUD","period":"H1 2026","publication_date":"2026-08-28","source":"https://www.metalsx.com.au/wp-content/uploads/2026/08/MLX-30-June-2026-Appendix-4D-and-Half-Year-Report.pdf#page=17","page":"17","basis":"reported","ownership_basis":"consolidated"},{"entity":"Metals X Group","metric":"cash_paid_property_plant_equipment","value":2912000,"unit":"AUD","currency":"AUD","period":"H1 2025","publication_date":"2026-08-28","source":"https://www.metalsx.com.au/wp-content/uploads/2026/08/MLX-30-June-2026-Appendix-4D-and-Half-Year-Report.pdf#page=17","page":"17","basis":"reported","ownership_basis":"consolidated"},{"entity":"Metals X Group","metric":"cash_paid_property_plant_equipment","value":7879000,"unit":"AUD","currency":"AUD","period":"H1 2026","publication_date":"2026-08-28","source":"https://www.metalsx.com.au/wp-content/uploads/2026/08/MLX-30-June-2026-Appendix-4D-and-Half-Year-Report.pdf#page=17","page":"17","basis":"reported","ownership_basis":"consolidated"},{"entity":"Metals X Group","metric":"cash_paid_mine_properties_development","value":13862000,"unit":"AUD","currency":"AUD","period":"H1 2025","publication_date":"2026-08-28","source":"https://www.metalsx.com.au/wp-content/uploads/2026/08/MLX-30-June-2026-Appendix-4D-and-Half-Year-Report.pdf#page=17","page":"17","basis":"reported","ownership_basis":"consolidated"},{"entity":"Metals X Group","metric":"cash_paid_mine_properties_development","value":12450000,"unit":"AUD","currency":"AUD","period":"H1 2026","publication_date":"2026-08-28","source":"https://www.metalsx.com.au/wp-content/uploads/2026/08/MLX-30-June-2026-Appendix-4D-and-Half-Year-Report.pdf#page=17","page":"17","basis":"reported","ownership_basis":"consolidated"},{"entity":"Metals X Group","metric":"net_investing_cash_flow","value":-51758000,"unit":"AUD","currency":"AUD","period":"H1 2025","publication_date":"2026-08-28","source":"https://www.metalsx.com.au/wp-content/uploads/2026/08/MLX-30-June-2026-Appendix-4D-and-Half-Year-Report.pdf#page=17","page":"17","basis":"reported","ownership_basis":"consolidated"},{"entity":"Metals X Group","metric":"net_investing_cash_flow","value":-43937000,"unit":"AUD","currency":"AUD","period":"H1 2026","publication_date":"2026-08-28","source":"https://www.metalsx.com.au/wp-content/uploads/2026/08/MLX-30-June-2026-Appendix-4D-and-Half-Year-Report.pdf#page=17","page":"17","basis":"reported","ownership_basis":"consolidated"},{"entity":"Metals X Group","metric":"net_financing_cash_flow","value":-2282000,"unit":"AUD","currency":"AUD","period":"H1 2025","publication_date":"2026-08-28","source":"https://www.metalsx.com.au/wp-content/uploads/2026/08/MLX-30-June-2026-Appendix-4D-and-Half-Year-Report.pdf#page=17","page":"17","basis":"reported","ownership_basis":"consolidated"},{"entity":"Metals X Group","metric":"net_financing_cash_flow","value":-2186000,"unit":"AUD","currency":"AUD","period":"H1 2026","publication_date":"2026-08-28","source":"https://www.metalsx.com.au/wp-content/uploads/2026/08/MLX-30-June-2026-Appendix-4D-and-Half-Year-Report.pdf#page=17","page":"17","basis":"reported","ownership_basis":"consolidated"},{"entity":"Metals X Group","metric":"net_change_in_cash","value":10234000,"unit":"AUD","currency":"AUD","period":"H1 2025","publication_date":"2026-08-28","source":"https://www.metalsx.com.au/wp-content/uploads/2026/08/MLX-30-June-2026-Appendix-4D-and-Half-Year-Report.pdf#page=17","page":"17","basis":"reported","ownership_basis":"consolidated"},{"entity":"Metals X Group","metric":"net_change_in_cash","value":80392000,"unit":"AUD","currency":"AUD","period":"H1 2026","publication_date":"2026-08-28","source":"https://www.metalsx.com.au/wp-content/uploads/2026/08/MLX-30-June-2026-Appendix-4D-and-Half-Year-Report.pdf#page=17","page":"17","basis":"reported","ownership_basis":"consolidated"},{"entity":"Metals X Group","metric":"opening_cash_and_cash_equivalents","value":220644000,"unit":"AUD","currency":"AUD","period":"H1 2025","publication_date":"2026-08-28","source":"https://www.metalsx.com.au/wp-content/uploads/2026/08/MLX-30-June-2026-Appendix-4D-and-Half-Year-Report.pdf#page=17","page":"17","basis":"reported","ownership_basis":"consolidated"},{"entity":"Metals X Group","metric":"opening_cash_and_cash_equivalents","value":293606000,"unit":"AUD","currency":"AUD","period":"H1 2026","publication_date":"2026-08-28","source":"https://www.metalsx.com.au/wp-content/uploads/2026/08/MLX-30-June-2026-Appendix-4D-and-Half-Year-Report.pdf#page=17","page":"17","basis":"reported","ownership_basis":"consolidated"},{"entity":"Metals X Group","metric":"current_interest_bearing_liabilities","value":1003000,"unit":"AUD","currency":"AUD","period":"2026-06-30","publication_date":"2026-08-28","source":"https://www.metalsx.com.au/wp-content/uploads/2026/08/MLX-30-June-2026-Appendix-4D-and-Half-Year-Report.pdf#page=16","page":"16","basis":"reported","ownership_basis":"consolidated"},{"entity":"Metals X Group","metric":"noncurrent_interest_bearing_liabilities","value":97000,"unit":"AUD","currency":"AUD","period":"2026-06-30","publication_date":"2026-08-28","source":"https://www.metalsx.com.au/wp-content/uploads/2026/08/MLX-30-June-2026-Appendix-4D-and-Half-Year-Report.pdf#page=16","page":"16","basis":"reported","ownership_basis":"consolidated"},{"entity":"Metals X Group","metric":"trade_and_other_receivables","value":31961000,"unit":"AUD","currency":"AUD","period":"2026-06-30","publication_date":"2026-08-28","source":"https://www.metalsx.com.au/wp-content/uploads/2026/08/MLX-30-June-2026-Appendix-4D-and-Half-Year-Report.pdf#page=16","page":"16","basis":"reported","ownership_basis":"consolidated"},{"entity":"Metals X Group","metric":"inventories","value":29791000,"unit":"AUD","currency":"AUD","period":"2026-06-30","publication_date":"2026-08-28","source":"https://www.metalsx.com.au/wp-content/uploads/2026/08/MLX-30-June-2026-Appendix-4D-and-Half-Year-Report.pdf#page=16","page":"16","basis":"reported","ownership_basis":"consolidated"},{"entity":"Metals X Group","metric":"total_assets","value":738759000,"unit":"AUD","currency":"AUD","period":"2026-06-30","publication_date":"2026-08-28","source":"https://www.metalsx.com.au/wp-content/uploads/2026/08/MLX-30-June-2026-Appendix-4D-and-Half-Year-Report.pdf#page=16","page":"16","basis":"reported","ownership_basis":"consolidated"},{"entity":"Metals X Group","metric":"total_liabilities","value":102112000,"unit":"AUD","currency":"AUD","period":"2026-06-30","publication_date":"2026-08-28","source":"https://www.metalsx.com.au/wp-content/uploads/2026/08/MLX-30-June-2026-Appendix-4D-and-Half-Year-Report.pdf#page=16","page":"16","basis":"reported","ownership_basis":"consolidated"},{"entity":"Metals X Group","metric":"total_equity","value":636647000,"unit":"AUD","currency":"AUD","period":"2026-06-30","publication_date":"2026-08-28","source":"https://www.metalsx.com.au/wp-content/uploads/2026/08/MLX-30-June-2026-Appendix-4D-and-Half-Year-Report.pdf#page=16","page":"16","basis":"reported","ownership_basis":"consolidated"},{"entity":"Metals X Group","metric":"capital_expenditure_commitments","value":16790000,"unit":"AUD","currency":"AUD","period":"2026-06-30","publication_date":"2026-08-28","source":"https://www.metalsx.com.au/wp-content/uploads/2026/08/MLX-30-June-2026-Appendix-4D-and-Half-Year-Report.pdf#page=27","page":"27","basis":"reported","ownership_basis":"consolidated"},{"entity":"Metals X Group","metric":"issued_ordinary_shares","value":886392538,"unit":"shares","currency":null,"period":"2026-06-30","publication_date":"2026-08-28","source":"https://www.metalsx.com.au/wp-content/uploads/2026/08/MLX-30-June-2026-Appendix-4D-and-Half-Year-Report.pdf#page=27","page":"27","basis":"reported","ownership_basis":"consolidated"},{"entity":"Renison","metric":"tin_in_concentrate_produced","value":5156,"unit":"tonnes_tin","currency":null,"period":"H1 2025","publication_date":"2026-08-28","source":"https://www.metalsx.com.au/wp-content/uploads/2026/08/MLX-30-June-2026-Appendix-4D-and-Half-Year-Report.pdf#page=7","page":"7","basis":"reported","ownership_basis":"100% whole operation"},{"entity":"Renison","metric":"tin_in_concentrate_produced","value":5696,"unit":"tonnes_tin","currency":null,"period":"H1 2026","publication_date":"2026-08-28","source":"https://www.metalsx.com.au/wp-content/uploads/2026/08/MLX-30-June-2026-Appendix-4D-and-Half-Year-Report.pdf#page=7","page":"7","basis":"reported","ownership_basis":"100% whole operation"},{"entity":"Metals X Group","metric":"revenue","period":"FY2023","value":153781000,"unit":"AUD","currency":"AUD","publication_date":"2024-04-09","source":"https://www.metalsx.com.au/wp-content/uploads/2024/04/MLX-Annual-Report-31-December-2023-Final.pdf#page=22","page":"22","basis":"reported","ownership_basis":"consolidated"},{"entity":"Metals X Group","metric":"cost_of_sales","period":"FY2023","value":105155000,"unit":"AUD","currency":"AUD","publication_date":"2024-04-09","source":"https://www.metalsx.com.au/wp-content/uploads/2024/04/MLX-Annual-Report-31-December-2023-Final.pdf#page=22","page":"22","basis":"reported","ownership_basis":"consolidated"},{"entity":"Metals X Group","metric":"gross_profit","period":"FY2023","value":48626000,"unit":"AUD","currency":"AUD","publication_date":"2024-04-09","source":"https://www.metalsx.com.au/wp-content/uploads/2024/04/MLX-Annual-Report-31-December-2023-Final.pdf#page=22","page":"22","basis":"reported","ownership_basis":"consolidated"},{"entity":"Metals X Group","metric":"net_income","period":"FY2023","value":14585000,"unit":"AUD","currency":"AUD","publication_date":"2024-04-09","source":"https://www.metalsx.com.au/wp-content/uploads/2024/04/MLX-Annual-Report-31-December-2023-Final.pdf#page=22","page":"22","basis":"reported","ownership_basis":"consolidated"},{"entity":"Metals X Group","metric":"net_operating_cash_flow","period":"FY2023","value":64860000,"unit":"AUD","currency":"AUD","publication_date":"2024-04-09","source":"https://www.metalsx.com.au/wp-content/uploads/2024/04/MLX-Annual-Report-31-December-2023-Final.pdf#page=24","page":"24","basis":"reported","ownership_basis":"consolidated"},{"entity":"Metals X Group","metric":"cash_paid_property_plant_equipment","period":"FY2023","value":13035000,"unit":"AUD","currency":"AUD","publication_date":"2024-04-09","source":"https://www.metalsx.com.au/wp-content/uploads/2024/04/MLX-Annual-Report-31-December-2023-Final.pdf#page=24","page":"24","basis":"reported","ownership_basis":"consolidated"},{"entity":"Metals X Group","metric":"cash_paid_mine_properties_development","period":"FY2023","value":21891000,"unit":"AUD","currency":"AUD","publication_date":"2024-04-09","source":"https://www.metalsx.com.au/wp-content/uploads/2024/04/MLX-Annual-Report-31-December-2023-Final.pdf#page=24","page":"24","basis":"reported","ownership_basis":"consolidated"},{"entity":"Metals X Group","metric":"net_investing_cash_flow","period":"FY2023","value":-32650000,"unit":"AUD","currency":"AUD","publication_date":"2024-04-09","source":"https://www.metalsx.com.au/wp-content/uploads/2024/04/MLX-Annual-Report-31-December-2023-Final.pdf#page=24","page":"24","basis":"reported","ownership_basis":"consolidated"},{"entity":"Metals X Group","metric":"net_financing_cash_flow","period":"FY2023","value":-3097000,"unit":"AUD","currency":"AUD","publication_date":"2024-04-09","source":"https://www.metalsx.com.au/wp-content/uploads/2024/04/MLX-Annual-Report-31-December-2023-Final.pdf#page=24","page":"24","basis":"reported","ownership_basis":"consolidated"},{"entity":"Metals X Group","metric":"opening_cash_and_cash_equivalents","period":"FY2023","value":113929000,"unit":"AUD","currency":"AUD","publication_date":"2024-04-09","source":"https://www.metalsx.com.au/wp-content/uploads/2024/04/MLX-Annual-Report-31-December-2023-Final.pdf#page=24","page":"24","basis":"reported","ownership_basis":"consolidated"},{"entity":"Metals X Group","metric":"cash_and_cash_equivalents","period":"2023-12-31","value":143042000,"unit":"AUD","currency":"AUD","publication_date":"2024-04-09","source":"https://www.metalsx.com.au/wp-content/uploads/2024/04/MLX-Annual-Report-31-December-2023-Final.pdf#page=23","page":"23","basis":"reported","ownership_basis":"consolidated"},{"entity":"Renison","metric":"tin_in_concentrate_produced","period":"2024-Q3","value":2899,"unit":"tonnes","currency":null,"publication_date":"2025-01-22","source":"https://www.metalsx.com.au/wp-content/uploads/2025/01/04_MLX_Quarterly-Report_31-December-2024.pdf#page=2","page":"2","basis":"reported","ownership_basis":"whole_operation"},{"entity":"Renison","metric":"imputed_tin_price","period":"2024-Q3","value":47219,"unit":"AUD/tonne","currency":"AUD","publication_date":"2025-01-22","source":"https://www.metalsx.com.au/wp-content/uploads/2025/01/04_MLX_Quarterly-Report_31-December-2024.pdf#page=2","page":"2","basis":"reported","ownership_basis":"whole_operation"},{"entity":"Renison","metric":"c1_cash_production_cost","period":"2024-Q3","value":16192,"unit":"AUD/tonne","currency":"AUD","publication_date":"2025-01-22","source":"https://www.metalsx.com.au/wp-content/uploads/2025/01/04_MLX_Quarterly-Report_31-December-2024.pdf#page=2","page":"2","basis":"reported","ownership_basis":"whole_operation"},{"entity":"Renison","metric":"processed_grade_percent","period":"2024-Q3","value":2.36,"unit":"percent","currency":null,"publication_date":"2025-01-22","source":"https://www.metalsx.com.au/wp-content/uploads/2025/01/04_MLX_Quarterly-Report_31-December-2024.pdf#page=2","page":"2","basis":"reported","ownership_basis":"whole_operation"},{"entity":"Renison","metric":"mill_recovery_percent","period":"2024-Q3","value":78.96,"unit":"percent","currency":null,"publication_date":"2025-01-22","source":"https://www.metalsx.com.au/wp-content/uploads/2025/01/04_MLX_Quarterly-Report_31-December-2024.pdf#page=2","page":"2","basis":"reported","ownership_basis":"whole_operation"},{"entity":"Renison","metric":"tin_in_concentrate_produced","period":"2024-Q4","value":3329,"unit":"tonnes","currency":null,"publication_date":"2025-01-22","source":"https://www.metalsx.com.au/wp-content/uploads/2025/01/04_MLX_Quarterly-Report_31-December-2024.pdf#page=2","page":"2","basis":"reported","ownership_basis":"whole_operation"},{"entity":"Renison","metric":"imputed_tin_price","period":"2024-Q4","value":46961,"unit":"AUD/tonne","currency":"AUD","publication_date":"2025-01-22","source":"https://www.metalsx.com.au/wp-content/uploads/2025/01/04_MLX_Quarterly-Report_31-December-2024.pdf#page=2","page":"2","basis":"reported","ownership_basis":"whole_operation"},{"entity":"Renison","metric":"c1_cash_production_cost","period":"2024-Q4","value":16282,"unit":"AUD/tonne","currency":"AUD","publication_date":"2025-01-22","source":"https://www.metalsx.com.au/wp-content/uploads/2025/01/04_MLX_Quarterly-Report_31-December-2024.pdf#page=2","page":"2","basis":"reported","ownership_basis":"whole_operation"},{"entity":"Renison","metric":"processed_grade_percent","period":"2024-Q4","value":2.27,"unit":"percent","currency":null,"publication_date":"2025-01-22","source":"https://www.metalsx.com.au/wp-content/uploads/2025/01/04_MLX_Quarterly-Report_31-December-2024.pdf#page=2","page":"2","basis":"reported","ownership_basis":"whole_operation"},{"entity":"Renison","metric":"mill_recovery_percent","period":"2024-Q4","value":81.16,"unit":"percent","currency":null,"publication_date":"2025-01-22","source":"https://www.metalsx.com.au/wp-content/uploads/2025/01/04_MLX_Quarterly-Report_31-December-2024.pdf#page=2","page":"2","basis":"reported","ownership_basis":"whole_operation"},{"entity":"Renison","metric":"tin_in_concentrate_produced","period":"2025-Q1","value":2432,"unit":"tonnes","currency":null,"publication_date":"2025-07-25","source":"https://www.metalsx.com.au/wp-content/uploads/2025/07/02_MLX_Quarterly-Report_30-June-2025.pdf#page=2","page":"2","basis":"reported","ownership_basis":"whole_operation"},{"entity":"Renison","metric":"imputed_tin_price","period":"2025-Q1","value":50603,"unit":"AUD/tonne","currency":"AUD","publication_date":"2025-07-25","source":"https://www.metalsx.com.au/wp-content/uploads/2025/07/02_MLX_Quarterly-Report_30-June-2025.pdf#page=2","page":"2","basis":"reported","ownership_basis":"whole_operation"},{"entity":"Renison","metric":"c1_cash_production_cost","period":"2025-Q1","value":20597,"unit":"AUD/tonne","currency":"AUD","publication_date":"2025-07-25","source":"https://www.metalsx.com.au/wp-content/uploads/2025/07/02_MLX_Quarterly-Report_30-June-2025.pdf#page=2","page":"2","basis":"reported","ownership_basis":"whole_operation"},{"entity":"Renison","metric":"processed_grade_percent","period":"2025-Q1","value":1.89,"unit":"percent","currency":null,"publication_date":"2025-07-25","source":"https://www.metalsx.com.au/wp-content/uploads/2025/07/02_MLX_Quarterly-Report_30-June-2025.pdf#page=2","page":"2","basis":"reported","ownership_basis":"whole_operation"},{"entity":"Renison","metric":"mill_recovery_percent","period":"2025-Q1","value":80.08,"unit":"percent","currency":null,"publication_date":"2025-07-25","source":"https://www.metalsx.com.au/wp-content/uploads/2025/07/02_MLX_Quarterly-Report_30-June-2025.pdf#page=2","page":"2","basis":"reported","ownership_basis":"whole_operation"},{"entity":"Renison","metric":"tin_in_concentrate_produced","period":"2025-Q2","value":2724,"unit":"tonnes","currency":null,"publication_date":"2025-07-25","source":"https://www.metalsx.com.au/wp-content/uploads/2025/07/02_MLX_Quarterly-Report_30-June-2025.pdf#page=2","page":"2","basis":"reported","ownership_basis":"whole_operation"},{"entity":"Renison","metric":"imputed_tin_price","period":"2025-Q2","value":50088,"unit":"AUD/tonne","currency":"AUD","publication_date":"2025-07-25","source":"https://www.metalsx.com.au/wp-content/uploads/2025/07/02_MLX_Quarterly-Report_30-June-2025.pdf#page=2","page":"2","basis":"reported","ownership_basis":"whole_operation"},{"entity":"Renison","metric":"c1_cash_production_cost","period":"2025-Q2","value":18769,"unit":"AUD/tonne","currency":"AUD","publication_date":"2025-07-25","source":"https://www.metalsx.com.au/wp-content/uploads/2025/07/02_MLX_Quarterly-Report_30-June-2025.pdf#page=2","page":"2","basis":"reported","ownership_basis":"whole_operation"},{"entity":"Renison","metric":"processed_grade_percent","period":"2025-Q2","value":1.84,"unit":"percent","currency":null,"publication_date":"2025-07-25","source":"https://www.metalsx.com.au/wp-content/uploads/2025/07/02_MLX_Quarterly-Report_30-June-2025.pdf#page=2","page":"2","basis":"reported","ownership_basis":"whole_operation"},{"entity":"Renison","metric":"mill_recovery_percent","period":"2025-Q2","value":80.53,"unit":"percent","currency":null,"publication_date":"2025-07-25","source":"https://www.metalsx.com.au/wp-content/uploads/2025/07/02_MLX_Quarterly-Report_30-June-2025.pdf#page=2","page":"2","basis":"reported","ownership_basis":"whole_operation"},{"entity":"Renison","metric":"tin_in_concentrate_produced","period":"2025-Q3","value":2272,"unit":"tonnes","currency":null,"publication_date":"2026-01-28","source":"https://www.metalsx.com.au/wp-content/uploads/2026/01/04_MLX_Quarterly-Report_31-December-2025.pdf#page=2","page":"2","basis":"reported","ownership_basis":"whole_operation"},{"entity":"Renison","metric":"imputed_tin_price","period":"2025-Q3","value":52024,"unit":"AUD/tonne","currency":"AUD","publication_date":"2026-01-28","source":"https://www.metalsx.com.au/wp-content/uploads/2026/01/04_MLX_Quarterly-Report_31-December-2025.pdf#page=2","page":"2","basis":"reported","ownership_basis":"whole_operation"},{"entity":"Renison","metric":"c1_cash_production_cost","period":"2025-Q3","value":23138,"unit":"AUD/tonne","currency":"AUD","publication_date":"2026-01-28","source":"https://www.metalsx.com.au/wp-content/uploads/2026/01/04_MLX_Quarterly-Report_31-December-2025.pdf#page=2","page":"2","basis":"reported","ownership_basis":"whole_operation"},{"entity":"Renison","metric":"processed_grade_percent","period":"2025-Q3","value":1.85,"unit":"percent","currency":null,"publication_date":"2026-01-28","source":"https://www.metalsx.com.au/wp-content/uploads/2026/01/04_MLX_Quarterly-Report_31-December-2025.pdf#page=2","page":"2","basis":"reported","ownership_basis":"whole_operation"},{"entity":"Renison","metric":"mill_recovery_percent","period":"2025-Q3","value":76.39,"unit":"percent","currency":null,"publication_date":"2026-01-28","source":"https://www.metalsx.com.au/wp-content/uploads/2026/01/04_MLX_Quarterly-Report_31-December-2025.pdf#page=2","page":"2","basis":"reported","ownership_basis":"whole_operation"},{"entity":"Renison","metric":"tin_in_concentrate_produced","period":"2025-Q4","value":3319,"unit":"tonnes","currency":null,"publication_date":"2026-01-28","source":"https://www.metalsx.com.au/wp-content/uploads/2026/01/04_MLX_Quarterly-Report_31-December-2025.pdf#page=2","page":"2","basis":"reported","ownership_basis":"whole_operation"},{"entity":"Renison","metric":"imputed_tin_price","period":"2025-Q4","value":58086,"unit":"AUD/tonne","currency":"AUD","publication_date":"2026-01-28","source":"https://www.metalsx.com.au/wp-content/uploads/2026/01/04_MLX_Quarterly-Report_31-December-2025.pdf#page=2","page":"2","basis":"reported","ownership_basis":"whole_operation"},{"entity":"Renison","metric":"c1_cash_production_cost","period":"2025-Q4","value":16598,"unit":"AUD/tonne","currency":"AUD","publication_date":"2026-01-28","source":"https://www.metalsx.com.au/wp-content/uploads/2026/01/04_MLX_Quarterly-Report_31-December-2025.pdf#page=2","page":"2","basis":"reported","ownership_basis":"whole_operation"},{"entity":"Renison","metric":"processed_grade_percent","period":"2025-Q4","value":2.48,"unit":"percent","currency":null,"publication_date":"2026-01-28","source":"https://www.metalsx.com.au/wp-content/uploads/2026/01/04_MLX_Quarterly-Report_31-December-2025.pdf#page=2","page":"2","basis":"reported","ownership_basis":"whole_operation"},{"entity":"Renison","metric":"mill_recovery_percent","period":"2025-Q4","value":82.34,"unit":"percent","currency":null,"publication_date":"2026-01-28","source":"https://www.metalsx.com.au/wp-content/uploads/2026/01/04_MLX_Quarterly-Report_31-December-2025.pdf#page=2","page":"2","basis":"reported","ownership_basis":"whole_operation"},{"entity":"Renison","metric":"tin_in_concentrate_produced","period":"2026-Q1","value":2887,"unit":"tonnes","currency":null,"publication_date":"2026-07-27","source":"https://www.metalsx.com.au/wp-content/uploads/2026/07/02_MLX_Quarterly-Report_30-June-2026_Final.pdf#page=2","page":"2","basis":"reported","ownership_basis":"whole_operation"},{"entity":"Renison","metric":"imputed_tin_price","period":"2026-Q1","value":69726,"unit":"AUD/tonne","currency":"AUD","publication_date":"2026-07-27","source":"https://www.metalsx.com.au/wp-content/uploads/2026/07/02_MLX_Quarterly-Report_30-June-2026_Final.pdf#page=2","page":"2","basis":"reported","ownership_basis":"whole_operation"},{"entity":"Renison","metric":"c1_cash_production_cost","period":"2026-Q1","value":18653,"unit":"AUD/tonne","currency":"AUD","publication_date":"2026-07-27","source":"https://www.metalsx.com.au/wp-content/uploads/2026/07/02_MLX_Quarterly-Report_30-June-2026_Final.pdf#page=2","page":"2","basis":"reported","ownership_basis":"whole_operation"},{"entity":"Renison","metric":"processed_grade_percent","period":"2026-Q1","value":2.24,"unit":"percent","currency":null,"publication_date":"2026-07-27","source":"https://www.metalsx.com.au/wp-content/uploads/2026/07/02_MLX_Quarterly-Report_30-June-2026_Final.pdf#page=2","page":"2","basis":"reported","ownership_basis":"whole_operation"},{"entity":"Renison","metric":"mill_recovery_percent","period":"2026-Q1","value":80.35,"unit":"percent","currency":null,"publication_date":"2026-07-27","source":"https://www.metalsx.com.au/wp-content/uploads/2026/07/02_MLX_Quarterly-Report_30-June-2026_Final.pdf#page=2","page":"2","basis":"reported","ownership_basis":"whole_operation"},{"entity":"Renison","metric":"processed_grade_percent","period":"2026-Q2","value":1.95,"unit":"percent","currency":null,"publication_date":"2026-07-27","source":"https://www.metalsx.com.au/wp-content/uploads/2026/07/02_MLX_Quarterly-Report_30-June-2026_Final.pdf#page=2","page":"2","basis":"reported","ownership_basis":"whole_operation"},{"entity":"Renison","metric":"mill_recovery_percent","period":"2026-Q2","value":78.55,"unit":"percent","currency":null,"publication_date":"2026-07-27","source":"https://www.metalsx.com.au/wp-content/uploads/2026/07/02_MLX_Quarterly-Report_30-June-2026_Final.pdf#page=2","page":"2","basis":"reported","ownership_basis":"whole_operation"}],"scenarios":{"bear":{"discount_rate":0.12,"ownership":0.5,"ownership_basis":"whole_operation","volume_basis":"imputed_production","residual_value":0,"years":[{"year":2027,"payable_tonnes":8986.18846153846,"price":51008,"price_currency":"AUD","fx":1,"unit_cost":34118.55652173913,"royalty_rate":0,"tax_rate":0.3,"depreciation":0,"capex":93600000,"working_capital_change":0,"closure":0,"corporate_cost":2240000,"notes":"Analyst shutdown sensitivity: 6 weeks from the disclosed four-to-six-week Q1 2027 hoist shutdown. Full lost output with no catch-up or stockpile offset; annual cash operating cost held unchanged. This is not company production guidance."},{"year":2028,"payable_tonnes":10158.3,"price":51008,"price_currency":"AUD","fx":1,"unit_cost":30181.8,"royalty_rate":0,"tax_rate":0.3,"depreciation":0,"capex":93600000,"working_capital_change":0,"closure":0,"corporate_cost":2240000},{"year":2029,"payable_tonnes":10158.3,"price":51008,"price_currency":"AUD","fx":1,"unit_cost":30181.8,"royalty_rate":0,"tax_rate":0.3,"depreciation":0,"capex":93600000,"working_capital_change":0,"closure":100000000,"corporate_cost":2240000}],"notes":"Illustrative 3-year assumed finite horizon; not reserve-backed life. Price multiplier 0.8, unit-cost multiplier 1.1, production proxy multiplier 0.9; not guidance."},"base":{"discount_rate":0.1,"ownership":0.5,"ownership_basis":"whole_operation","volume_basis":"imputed_production","residual_value":0,"years":[{"year":2027,"payable_tonnes":10201.71153846154,"price":63760,"price_currency":"AUD","fx":1,"unit_cost":30356.93617021276,"royalty_rate":0,"tax_rate":0.3,"depreciation":0,"capex":93600000,"working_capital_change":0,"closure":0,"corporate_cost":2240000,"notes":"Analyst shutdown sensitivity: 5 weeks from the disclosed four-to-six-week Q1 2027 hoist shutdown. Full lost output with no catch-up or stockpile offset; annual cash operating cost held unchanged. This is not company production guidance."},{"year":2028,"payable_tonnes":11287,"price":63760,"price_currency":"AUD","fx":1,"unit_cost":27438,"royalty_rate":0,"tax_rate":0.3,"depreciation":0,"capex":93600000,"working_capital_change":0,"closure":0,"corporate_cost":2240000},{"year":2029,"payable_tonnes":11287,"price":63760,"price_currency":"AUD","fx":1,"unit_cost":27438,"royalty_rate":0,"tax_rate":0.3,"depreciation":0,"capex":93600000,"working_capital_change":0,"closure":0,"corporate_cost":2240000},{"year":2030,"payable_tonnes":11287,"price":63760,"price_currency":"AUD","fx":1,"unit_cost":27438,"royalty_rate":0,"tax_rate":0.3,"depreciation":0,"capex":93600000,"working_capital_change":0,"closure":0,"corporate_cost":2240000},{"year":2031,"payable_tonnes":11287,"price":63760,"price_currency":"AUD","fx":1,"unit_cost":27438,"royalty_rate":0,"tax_rate":0.3,"depreciation":0,"capex":93600000,"working_capital_change":0,"closure":100000000,"corporate_cost":2240000}],"notes":"Illustrative 5-year assumed finite horizon; not reserve-backed life. Price multiplier 1.0, unit-cost multiplier 1.0, production proxy multiplier 1.0; not guidance."},"bull":{"discount_rate":0.08,"ownership":0.5,"ownership_basis":"whole_operation","volume_basis":"imputed_production","residual_value":0,"years":[{"year":2027,"payable_tonnes":11460.64615384616,"price":76512,"price_currency":"AUD","fx":1,"unit_cost":28238.275,"royalty_rate":0,"tax_rate":0.3,"depreciation":0,"capex":93600000,"working_capital_change":0,"closure":0,"corporate_cost":2240000,"notes":"Analyst shutdown sensitivity: 4 weeks from the disclosed four-to-six-week Q1 2027 hoist shutdown. Full lost output with no catch-up or stockpile offset; annual cash operating cost held unchanged. This is not company production guidance."},{"year":2028,"payable_tonnes":12415.7,"price":76512,"price_currency":"AUD","fx":1,"unit_cost":26066.1,"royalty_rate":0,"tax_rate":0.3,"depreciation":0,"capex":93600000,"working_capital_change":0,"closure":0,"corporate_cost":2240000},{"year":2029,"payable_tonnes":12415.7,"price":76512,"price_currency":"AUD","fx":1,"unit_cost":26066.1,"royalty_rate":0,"tax_rate":0.3,"depreciation":0,"capex":93600000,"working_capital_change":0,"closure":0,"corporate_cost":2240000},{"year":2030,"payable_tonnes":12415.7,"price":76512,"price_currency":"AUD","fx":1,"unit_cost":26066.1,"royalty_rate":0,"tax_rate":0.3,"depreciation":0,"capex":93600000,"working_capital_change":0,"closure":0,"corporate_cost":2240000},{"year":2031,"payable_tonnes":12415.7,"price":76512,"price_currency":"AUD","fx":1,"unit_cost":26066.1,"royalty_rate":0,"tax_rate":0.3,"depreciation":0,"capex":93600000,"working_capital_change":0,"closure":0,"corporate_cost":2240000},{"year":2032,"payable_tonnes":12415.7,"price":76512,"price_currency":"AUD","fx":1,"unit_cost":26066.1,"royalty_rate":0,"tax_rate":0.3,"depreciation":0,"capex":93600000,"working_capital_change":0,"closure":0,"corporate_cost":2240000},{"year":2033,"payable_tonnes":12415.7,"price":76512,"price_currency":"AUD","fx":1,"unit_cost":26066.1,"royalty_rate":0,"tax_rate":0.3,"depreciation":0,"capex":93600000,"working_capital_change":0,"closure":100000000,"corporate_cost":2240000}],"notes":"Illustrative 7-year assumed finite horizon; not reserve-backed life. Price multiplier 1.2, unit-cost multiplier 0.95, production proxy multiplier 1.1; not guidance."}},"provenance":{</t>
  </si>
  <si>
    <t xml:space="preserve">"/cash":{"unit":"AUD","source":"https://www.metalsx.com.au/wp-content/uploads/2026/08/MLX-30-June-2026-Appendix-4D-and-Half-Year-Report.pdf#page=16","rationale":"Reported June 30 2026 group cash, replaces rounded quarterly balance.","author":"Codex / 20 September 2026 source refresh"},"/debt":{"unit":"AUD","source":"https://www.metalsx.com.au/wp-content/uploads/2026/08/MLX-30-June-2026-Appendix-4D-and-Half-Year-Report.pdf#page=16","rationale":"June 30 2026 interest-bearing liabilities: current 1.003m plus noncurrent 0.097m; includes leases. Replaces December debt.","author":"Codex / 20 September 2026 source refresh"},"/other_assets":{"unit":"AUD","source":"analyst-assumption://limited-sensitivity","rationale":"Exclude other investments/residual assets from this limited model; not a statement of zero economic value.","author":"Agent-authored public example; reported source or explicit assumption as described"},"/diluted_shares":{"unit":"shares","source":"https://www.metalsx.com.au/wp-content/uploads/2026/08/MLX-30-June-2026-Appendix-4D-and-Half-Year-Report.pdf#page=27","rationale":"June 30 2026 issued ordinary shares, correcting earlier 1,000-share transcription error. Basic and diluted EPS equal in interim report; issued count remains a proxy for current fully diluted shares, not a current securities reconciliation.","author":"Codex / 20 September 2026 source refresh"},"/scenarios/bear/discount_rate":{"unit":"fraction","source":"analyst-assumption://discount-rate","rationale":"Illustrative discount rate; not a derived company WACC.","author":"Agent-authored public example; reported source or explicit assumption as described"},"/scenarios/bear/ownership":{"unit":"fraction","source":"https://www.metalsx.com.au/wp-content/uploads/2026/07/02_MLX_Quarterly-Report_30-June-2026_Final.pdf#page=2","rationale":"Reported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described"},"/scenarios/bear/residual_value":{"unit":"AUD","source":"analyst-assumption://finite-horizon","rationale":"No terminal perpetuity or residual asset value; horizon is an unverified stress assumption.","author":"Agent-authored public example; reported source or explicit assumption as described"},"/scenarios/bear/years/0/payable_tonnes":{"unit":"tonnes","source":"https://www.metalsx.com.au/wp-content/uploads/2026/07/02_MLX_Quarterly-Report_30-June-2026_Final.pdf#page=4","rationale":"Analyst shutdown sensitivity: 6 weeks from the disclosed four-to-six-week Q1 2027 hoist shutdown. Full lost output with no catch-up or stockpile offset; annual cash operating cost held unchanged. This is not company production guidance.","author":"Codex"},"/scenarios/bear/years/0/price":{"unit":"AUD/tonne","source":"https://www.metalsx.com.au/wp-content/uploads/2026/07/02_MLX_Quarterly-Report_30-June-2026_Final.pdf#page=2","rationale":"TTM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described"},"/scenarios/bear/years/0/fx":{"unit":"AUD/AUD","source":"https://www.metalsx.com.au/wp-content/uploads/2026/07/02_MLX_Quarterly-Report_30-June-2026_Final.pdf#page=2","rationale":"All imputed price/costs reported in AUD; identity conversion.","author":"Agent-authored public example; reported source or explicit assumption as described"},"/scenarios/bear/years/0/unit_cost":{"unit":"AUD/tonne","source":"workbook://Assumptions/C28","rationale":"Explicit workbook override; prior value 34118.556521739134. Prior source: https://www.metalsx.com.au/wp-content/uploads/2026/07/02_MLX_Quarterly-Report_30-June-2026_Final.pdf#page=4","author":"workbook user"},"/scenarios/bear/years/0/royalty_rate":{"unit":"fraction","source":"https://www.metalsx.com.au/wp-content/uploads/2026/07/02_MLX_Quarterly-Report_30-June-2026_Final.pdf#page=3","rationale":"Royalties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described"},"/scenarios/bear/years/0/tax_rate":{"unit":"fraction","source":"analyst-assumption://simplified-tax","rationale":"Assume 30% tax on positive cash-based EBIT; no depreciation shields/losses. Not a verified fiscal forecast.","author":"Agent-authored public example; reported source or explicit assumption as described"},"/scenarios/bear/years/0/depreciation":{"unit":"AUD","source":"analyst-assumption://no-tax-depreciation","rationale":"Assume no depreciation tax shield; uncertain taxable bases need reconciliation.","author":"Agent-authored public example; reported source or explicit assumption as described"},"/scenarios/bear/years/0/capex":{"unit":"AUD","source":"https://www.metalsx.com.au/wp-content/uploads/2026/07/02_MLX_Quarterly-Report_30-June-2026_Final.pdf#page=3","rationale":"Annualize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described"},"/scenarios/bear/years/0/working_capital_change":{"unit":"AUD","source":"analyst-assumption://flat-working-capital","rationale":"Assume zero annual change solely for sensitivity; inventory/receivables timing is not established.","author":"Agent-authored public example; reported source or explicit assumption as described"},"/scenarios/bear/years/0/closure":{"unit":"AUD","source":"analyst-assumption://nominal-closure","rationale":"Assume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described"},"/scenarios/bear/years/1/payable_tonnes":{"unit":"tonnes","source":"https://www.metalsx.com.au/wp-content/uploads/2026/07/02_MLX_Quarterly-Report_30-June-2026_Final.pdf#page=2","rationale":"TTM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described"},"/scenarios/bear/years/1/price":{"unit":"AUD/tonne","source":"https://www.metalsx.com.au/wp-content/uploads/2026/07/02_MLX_Quarterly-Report_30-June-2026_Final.pdf#page=2","rationale":"TTM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described"},"/scenarios/bear/years/1/fx":{"unit":"AUD/AUD","source":"https://www.metalsx.com.au/wp-content/uploads/2026/07/02_MLX_Quarterly-Report_30-June-2026_Final.pdf#page=2","rationale":"All imputed price/costs reported in AUD; identity conversion.","author":"Agent-authored public example; reported source or explicit assumption as described"},"/scenarios/bear/years/1/unit_cost":{"unit":"AUD/tonne","source":"https://www.metalsx.com.au/wp-content/uploads/2026/07/02_MLX_Quarterly-Report_30-June-2026_Final.pdf#page=2","rationale":"(TTM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described"},"/scenarios/bear/years/1/tax_rate":{"unit":"fraction","source":"analyst-assumption://simplified-tax","rationale":"Assume 30% tax on positive cash-based EBIT; no depreciation shields/losses. Not a verified fiscal forecast.","author":"Agent-authored public example; reported source or explicit assumption as described"},"/scenarios/bear/years/1/depreciation":{"unit":"AUD","source":"analyst-assumption://no-tax-depreciation","rationale":"Assume no depreciation tax shield; uncertain taxable bases need reconciliation.","author":"Agent-authored public example; reported source or explicit assumption as described"},"/scenarios/bear/years/1/capex":{"unit":"AUD","source":"https://www.metalsx.com.au/wp-content/uploads/2026/07/02_MLX_Quarterly-Report_30-June-2026_Final.pdf#page=3","rationale":"Annualize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described"},"/scenarios/bear/years/1/working_capital_change":{"unit":"AUD","source":"analyst-assumption://flat-working-capital","rationale":"Assume zero annual change solely for sensitivity; inventory/receivables timing is not established.","author":"Agent-authored public example; reported source or explicit assumption as described"},"/scenarios/bear/years/1/closure":{"unit":"AUD","source":"analyst-assumption://nominal-closure","rationale":"Assume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described"},"/scenarios/bear/years/2/payable_tonnes":{"unit":"tonnes","source":"https://www.metalsx.com.au/wp-content/uploads/2026/07/02_MLX_Quarterly-Report_30-June-2026_Final.pdf#page=2","rationale":"TTM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described"},"/scenarios/bear/years/2/price":{"unit":"AUD/tonne","source":"https://www.metalsx.com.au/wp-content/uploads/2026/07/02_MLX_Quarterly-Report_30-June-2026_Final.pdf#page=2","rationale":"TTM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described"},"/scenarios/bear/years/2/fx":{"unit":"AUD/AUD","source":"https://www.metalsx.com.au/wp-content/uploads/2026/07/02_MLX_Quarterly-Report_30-June-2026_Final.pdf#page=2","rationale":"All imputed price/costs reported in AUD; identity conversion.","author":"Agent-authored public example; reported source or explicit assumption as described"},"/scenarios/bear/years/2/unit_cost":{"unit":"AUD/tonne","source":"https://www.metalsx.com.au/wp-content/uploads/2026/07/02_MLX_Quarterly-Report_30-June-2026_Final.pdf#page=2","rationale":"(TTM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described"},"/scenarios/bear/years/2/tax_rate":{"unit":"fraction","source":"analyst-assumption://simplified-tax","rationale":"Assume 30% tax on positive cash-based EBIT; no depreciation shields/losses. Not a verified fiscal forecast.","author":"Agent-authored public example; reported source or explicit assumption as described"},"/scenarios/bear/years/2/depreciation":{"unit":"AUD","source":"analyst-assumption://no-tax-depreciation","rationale":"Assume no depreciation tax shield; uncertain taxable bases need reconciliation.","author":"Agent-authored public example; reported source or explicit assumption as described"},"/scenarios/bear/years/2/capex":{"unit":"AUD","source":"https://www.metalsx.com.au/wp-content/uploads/2026/07/02_MLX_Quarterly-Report_30-June-2026_Final.pdf#page=3","rationale":"Annualize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described"},"/scenarios/bear/years/2/working_capital_change":{"unit":"AUD","source":"analyst-assumption://flat-working-capital","rationale":"Assume zero annual change solely for sensitivity; inventory/receivables timing is not established.","author":"Agent-authored public example; reported source or explicit assumption as described"},"/scenarios/bear/years/2/closure":{"unit":"AUD","source":"analyst-assumption://nominal-closure","rationale":"Assume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described"},"/scenarios/base/discount_rate":{"unit":"fraction","source":"analyst-assumption://discount-rate","rationale":"Illustrative discount rate; not a derived company WACC.","author":"Agent-authored public example; reported source or explicit assumption as described"},"/scenarios/base/ownership":{"unit":"fraction","source":"https://www.metalsx.com.au/wp-content/uploads/2026/07/02_MLX_Quarterly-Report_30-June-2026_Final.pdf#page=2","rationale":"Reported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described"},"/scenarios/base/residual_value":{"unit":"AUD","source":"analyst-assumption://finite-horizon","rationale":"No terminal perpetuity or residual asset value; horizon is an unverified stress assumption.","author":"Agent-authored public example; reported source or explicit assumption as described"},"/scenarios/base/years/0/payable_tonnes":{"unit":"tonnes","source":"workbook://Assumptions/C44","rationale":"Explicit workbook override; prior value 10201.711538461539. Prior source: https://www.metalsx.com.au/wp-content/uploads/2026/07/02_MLX_Quarterly-Report_30-June-2026_Final.pdf#page=4","author":"workbook user"},"/scenarios/base/years/0/price":{"unit":"AUD/tonne","source":"https://www.metalsx.com.au/wp-content/uploads/2026/07/02_MLX_Quarterly-Report_30-June-2026_Final.pdf#page=2","rationale":"TTM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described"},"/scenarios/base/years/0/fx":{"unit":"AUD/AUD","source":"https://www.metalsx.com.au/wp-content/uploads/2026/07/02_MLX_Quarterly-Report_30-June-2026_Final.pdf#page=2","rationale":"All imputed price/costs reported in AUD; identity conversion.","author":"Agent-authored public example; reported source or explicit assumption as described"},"/scenarios/base/years/0/unit_cost":{"unit":"AUD/tonne","source":"workbook://Assumptions/C47","rationale":"Explicit workbook override; prior value 30356.936170212764. Prior source: https://www.metalsx.com.au/wp-content/uploads/2026/07/02_MLX_Quarterly-Report_30-June-2026_Final.pdf#page=4","author":"workbook user"},"/scenarios/base/years/0/royalty_rate":{"unit":"fraction","source":"https://www.metalsx.com.au/wp-content/uploads/2026/07/02_MLX_Quarterly-Report_30-June-2026_Final.pdf#page=3","rationale":"Royalties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described"},"/scenarios/base/years/0/tax_rate":{"unit":"fraction","source":"analyst-assumption://simplified-tax","rationale":"Assume 30% tax on positive cash-based EBIT; no depreciation shields/losses. Not a verified fiscal forecast.","author":"Agent-authored public example; reported source or explicit assumption as described"},"/scenarios/base/years/0/depreciation":{"unit":"AUD","source":"analyst-assumption://no-tax-depreciation","rationale":"Assume no depreciation tax shield; uncertain taxable bases need reconciliation.","author":"Agent-authored public example; reported source or explicit assumption as described"},"/scenarios/base/years/0/capex":{"unit":"AUD","source":"https://www.metalsx.com.au/wp-content/uploads/2026/07/02_MLX_Quarterly-Report_30-June-2026_Final.pdf#page=3","rationale":"Annualize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described"},"/scenarios/base/years/0/working_capital_change":{"unit":"AUD","source":"analyst-assumption://flat-working-capital","rationale":"Assume zero annual change solely for sensitivity; inventory/receivables timing is not established.","author":"Agent-authored public example; reported source or explicit assumption as described"},"/scenarios/base/years/0/closure":{"unit":"AUD","source":"analyst-assumption://nominal-closure","rationale":"Assume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described"},"/scenarios/base/years/1/payable_tonnes":{"unit":"tonnes","source":"https://www.metalsx.com.au/wp-content/uploads/2026/07/02_MLX_Quarterly-Report_30-June-2026_Final.pdf#page=2","rationale":"TTM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described"},"/scenarios/base/years/1/price":{"unit":"AUD/tonne","source":"https://www.metalsx.com.au/wp-content/uploads/2026/07/02_MLX_Quarterly-Report_30-June-2026_Final.pdf#page=2","rationale":"TTM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described"},"/scenarios/base/years/1/fx":{"unit":"AUD/AUD","source":"https://www.metalsx.com.au/wp-content/uploads/2026/07/02_MLX_Quarterly-Report_30-June-2026_Final.pdf#page=2","rationale":"All imputed price/costs reported in AUD; identity conversion.","author":"Agent-authored public example; reported source or explicit assumption as described"},"/scenarios/base/years/1/unit_cost":{"unit":"AUD/tonne","source":"https://www.metalsx.com.au/wp-content/uploads/2026/07/02_MLX_Quarterly-Report_30-June-2026_Final.pdf#page=2","rationale":"(TTM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described"},"/scenarios/base/years/1/tax_rate":{"unit":"fraction","source":"analyst-assumption://simplified-tax","rationale":"Assume 30% tax on positive cash-based EBIT; no depreciation shields/losses. Not a verified fiscal forecast.","author":"Agent-authored public example; reported source or explicit assumption as described"},"/scenarios/base/years/1/depreciation":{"unit":"AUD","source":"analyst-assumption://no-tax-depreciation","rationale":"Assume no depreciation tax shield; uncertain taxable bases need reconciliation.","author":"Agent-authored public example; reported source or explicit assumption as described"},"/scenarios/base/years/1/capex":{"unit":"AUD","source":"https://www.metalsx.com.au/wp-content/uploads/2026/07/02_MLX_Quarterly-Report_30-June-2026_Final.pdf#page=3","rationale":"Annualize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described"},"/scenarios/base/years/1/working_capital_change":{"unit":"AUD","source":"analyst-assumption://flat-working-capital","rationale":"Assume zero annual change solely for sensitivity; inventory/receivables timing is not established.","author":"Agent-authored public example; reported source or explicit assumption as described"},"/scenarios/base/years/1/closure":{"unit":"AUD","source":"analyst-assumption://nominal-closure","rationale":"Assume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described"},"/scenarios/base/years/2/payable_tonnes":{"unit":"tonnes","source":"https://www.metalsx.com.au/wp-content/uploads/2026/07/02_MLX_Quarterly-Report_30-June-2026_Final.pdf#page=2","rationale":"TTM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described"},"/scenarios/base/years/2/price":{"unit":"AUD/tonne","source":"https://www.metalsx.com.au/wp-content/uploads/2026/07/02_MLX_Quarterly-Report_30-June-2026_Final.pdf#page=2","rationale":"TTM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described"},"/scenarios/base/years/2/fx":{"unit":"AUD/AUD","source":"https://www.metalsx.com.au/wp-content/uploads/2026/07/02_MLX_Quarterly-Report_30-June-2026_Final.pdf#page=2","rationale":"All imputed price/costs reported in AUD; identity conversion.","author":"Agent-authored public example; reported source or explicit assumption as described"},"/scenarios/base/years/2/unit_cost":{"unit":"AUD/tonne","source":"https://www.metalsx.com.au/wp-content/uploads/2026/07/02_MLX_Quarterly-Report_30-June-2026_Final.pdf#page=2","rationale":"(TTM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described"},"/scenarios/base/years/2/tax_rate":{"unit":"fraction","source":"analyst-assumption://simplified-tax","rationale":"Assume 30% tax on positive cash-based EBIT; no depreciation shields/losses. Not a verified fiscal forecast.","author":"Agent-authored public example; reported source or explicit assumption as described"},"/scenarios/base/years/2/depreciation":{"unit":"AUD","source":"analyst-assumption://no-tax-depreciation","rationale":"Assume no depreciation tax shield; uncertain taxable bases need reconciliation.","author":"Agent-authored public example; reported source or explicit assumption as described"},"/scenarios/base/years/2/capex":{"unit":"AUD","source":"https://www.metalsx.com.au/wp-content/uploads/2026/07/02_MLX_Quarterly-Report_30-June-2026_Final.pdf#page=3","rationale":"Annualize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described"},"/scenarios/base/years/2/working_capital_change":{"unit":"AUD","source":"analyst-assumption://flat-working-capital","rationale":"Assume zero annual change solely for sensitivity; inventory/receivables timing is not established.","author":"Agent-authored public example; reported source or explicit assumption as described"},"/scenarios/base/years/2/closure":{"unit":"AUD","source":"analyst-assumption://nominal-closure","rationale":"Assume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described"},"/scenarios/base/years/3/payable_tonnes":{"unit":"tonnes","source":"https://www.metalsx.com.au/wp-content/uploads/2026/07/02_MLX_Quarterly-Report_30-June-2026_Final.pdf#page=2","rationale":"TTM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described"},"/scenarios/base/years/3/price":{"unit":"AUD/tonne","source":"https://www.metalsx.com.au/wp-content/uploads/2026/07/02_MLX_Quarterly-Report_30-June-2026_Final.pdf#page=2","rationale":"TTM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described"},"/scenarios/base/years/3/fx":{"unit":"AUD/AUD","source":"https://www.metalsx.com.au/wp-content/uploads/2026/07/02_MLX_Quarterly-Report_30-June-2026_Final.pdf#page=2","rationale":"All imputed price/costs reported in AUD; identity conversion.","author":"Agent-authored public example; reported source or explicit assumption as described"},"/scenarios/base/years/3/unit_cost":{"unit":"AUD/tonne","source":"https://www.metalsx.com.au/wp-content/uploads/2026/07/02_MLX_Quarterly-Report_30-June-2026_Final.pdf#page=2","rationale":"(TTM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described"},"/scenarios/base/years/3/tax_rate":{"unit":"fraction","source":"analyst-assumption://simplified-tax","rationale":"Assume 30% tax on positive cash-based EBIT; no depreciation shields/losses. Not a verified fiscal forecast.","author":"Agent-authored public example; reported source or explicit assumption as described"},"/scenarios/base/years/3/depreciation":{"unit":"AUD","source":"analyst-assumption://no-tax-depreciation","rationale":"Assume no depreciation tax shield; uncertain taxable bases need reconciliation.","author":"Agent-authored public example; reported source or explicit assumption as described"},"/scenarios/base/years/3/capex":{"unit":"AUD","source":"https://www.metalsx.com.au/wp-content/uploads/2026/07/02_MLX_Quarterly-Report_30-June-2026_Final.pdf#page=3","rationale":"Annualize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described"},"/scenarios/base/years/3/working_capital_change":{"unit":"AUD","source":"analyst-assumpt</t>
  </si>
  <si>
    <t xml:space="preserve">ion://flat-working-capital","rationale":"Assume zero annual change solely for sensitivity; inventory/receivables timing is not established.","author":"Agent-authored public example; reported source or explicit assumption as described"},"/scenarios/base/years/3/closure":{"unit":"AUD","source":"analyst-assumption://nominal-closure","rationale":"Assume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described"},"/scenarios/base/years/4/payable_tonnes":{"unit":"tonnes","source":"https://www.metalsx.com.au/wp-content/uploads/2026/07/02_MLX_Quarterly-Report_30-June-2026_Final.pdf#page=2","rationale":"TTM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described"},"/scenarios/base/years/4/price":{"unit":"AUD/tonne","source":"https://www.metalsx.com.au/wp-content/uploads/2026/07/02_MLX_Quarterly-Report_30-June-2026_Final.pdf#page=2","rationale":"TTM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described"},"/scenarios/base/years/4/fx":{"unit":"AUD/AUD","source":"https://www.metalsx.com.au/wp-content/uploads/2026/07/02_MLX_Quarterly-Report_30-June-2026_Final.pdf#page=2","rationale":"All imputed price/costs reported in AUD; identity conversion.","author":"Agent-authored public example; reported source or explicit assumption as described"},"/scenarios/base/years/4/unit_cost":{"unit":"AUD/tonne","source":"https://www.metalsx.com.au/wp-content/uploads/2026/07/02_MLX_Quarterly-Report_30-June-2026_Final.pdf#page=2","rationale":"(TTM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described"},"/scenarios/base/years/4/tax_rate":{"unit":"fraction","source":"analyst-assumption://simplified-tax","rationale":"Assume 30% tax on positive cash-based EBIT; no depreciation shields/losses. Not a verified fiscal forecast.","author":"Agent-authored public example; reported source or explicit assumption as described"},"/scenarios/base/years/4/depreciation":{"unit":"AUD","source":"analyst-assumption://no-tax-depreciation","rationale":"Assume no depreciation tax shield; uncertain taxable bases need reconciliation.","author":"Agent-authored public example; reported source or explicit assumption as described"},"/scenarios/base/years/4/capex":{"unit":"AUD","source":"https://www.metalsx.com.au/wp-content/uploads/2026/07/02_MLX_Quarterly-Report_30-June-2026_Final.pdf#page=3","rationale":"Annualize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described"},"/scenarios/base/years/4/working_capital_change":{"unit":"AUD","source":"analyst-assumption://flat-working-capital","rationale":"Assume zero annual change solely for sensitivity; inventory/receivables timing is not established.","author":"Agent-authored public example; reported source or explicit assumption as described"},"/scenarios/base/years/4/closure":{"unit":"AUD","source":"analyst-assumption://nominal-closure","rationale":"Assume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described"},"/scenarios/bull/discount_rate":{"unit":"fraction","source":"analyst-assumption://discount-rate","rationale":"Illustrative discount rate; not a derived company WACC.","author":"Agent-authored public example; reported source or explicit assumption as described"},"/scenarios/bull/ownership":{"unit":"fraction","source":"https://www.metalsx.com.au/wp-content/uploads/2026/07/02_MLX_Quarterly-Report_30-June-2026_Final.pdf#page=2","rationale":"Reported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described"},"/scenarios/bull/residual_value":{"unit":"AUD","source":"analyst-assumption://finite-horizon","rationale":"No terminal perpetuity or residual asset value; horizon is an unverified stress assumption.","author":"Agent-authored public example; reported source or explicit assumption as described"},"/scenarios/bull/years/0/payable_tonnes":{"unit":"tonnes","source":"workbook://Assumptions/C63","rationale":"Explicit workbook override; prior value 11460.646153846155. Prior source: https://www.metalsx.com.au/wp-content/uploads/2026/07/02_MLX_Quarterly-Report_30-June-2026_Final.pdf#page=4","author":"workbook user"},"/scenarios/bull/years/0/price":{"unit":"AUD/tonne","source":"https://www.metalsx.com.au/wp-content/uploads/2026/07/02_MLX_Quarterly-Report_30-June-2026_Final.pdf#page=2","rationale":"TTM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described"},"/scenarios/bull/years/0/fx":{"unit":"AUD/AUD","source":"https://www.metalsx.com.au/wp-content/uploads/2026/07/02_MLX_Quarterly-Report_30-June-2026_Final.pdf#page=2","rationale":"All imputed price/costs reported in AUD; identity conversion.","author":"Agent-authored public example; reported source or explicit assumption as described"},"/scenarios/bull/years/0/unit_cost":{"unit":"AUD/tonne","source":"workbook://Assumptions/C66","rationale":"Explicit workbook override; prior value 28238.274999999998. Prior source: https://www.metalsx.com.au/wp-content/uploads/2026/07/02_MLX_Quarterly-Report_30-June-2026_Final.pdf#page=4","author":"workbook user"},"/scenarios/bull/years/0/royalty_rate":{"unit":"fraction","source":"https://www.metalsx.com.au/wp-content/uploads/2026/07/02_MLX_Quarterly-Report_30-June-2026_Final.pdf#page=3","rationale":"Royalties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described"},"/scenarios/bull/years/0/tax_rate":{"unit":"fraction","source":"analyst-assumption://simplified-tax","rationale":"Assume 30% tax on positive cash-based EBIT; no depreciation shields/losses. Not a verified fiscal forecast.","author":"Agent-authored public example; reported source or explicit assumption as described"},"/scenarios/bull/years/0/depreciation":{"unit":"AUD","source":"analyst-assumption://no-tax-depreciation","rationale":"Assume no depreciation tax shield; uncertain taxable bases need reconciliation.","author":"Agent-authored public example; reported source or explicit assumption as described"},"/scenarios/bull/years/0/capex":{"unit":"AUD","source":"https://www.metalsx.com.au/wp-content/uploads/2026/07/02_MLX_Quarterly-Report_30-June-2026_Final.pdf#page=3","rationale":"Annualize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described"},"/scenarios/bull/years/0/working_capital_change":{"unit":"AUD","source":"analyst-assumption://flat-working-capital","rationale":"Assume zero annual change solely for sensitivity; inventory/receivables timing is not established.","author":"Agent-authored public example; reported source or explicit assumption as described"},"/scenarios/bull/years/0/closure":{"unit":"AUD","source":"analyst-assumption://nominal-closure","rationale":"Assume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described"},"/scenarios/bull/years/1/payable_tonnes":{"unit":"tonnes","source":"https://www.metalsx.com.au/wp-content/uploads/2026/07/02_MLX_Quarterly-Report_30-June-2026_Final.pdf#page=2","rationale":"TTM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described"},"/scenarios/bull/years/1/price":{"unit":"AUD/tonne","source":"https://www.metalsx.com.au/wp-content/uploads/2026/07/02_MLX_Quarterly-Report_30-June-2026_Final.pdf#page=2","rationale":"TTM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described"},"/scenarios/bull/years/1/fx":{"unit":"AUD/AUD","source":"https://www.metalsx.com.au/wp-content/uploads/2026/07/02_MLX_Quarterly-Report_30-June-2026_Final.pdf#page=2","rationale":"All imputed price/costs reported in AUD; identity conversion.","author":"Agent-authored public example; reported source or explicit assumption as described"},"/scenarios/bull/years/1/unit_cost":{"unit":"AUD/tonne","source":"https://www.metalsx.com.au/wp-content/uploads/2026/07/02_MLX_Quarterly-Report_30-June-2026_Final.pdf#page=2","rationale":"(TTM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described"},"/scenarios/bull/years/1/tax_rate":{"unit":"fraction","source":"analyst-assumption://simplified-tax","rationale":"Assume 30% tax on positive cash-based EBIT; no depreciation shields/losses. Not a verified fiscal forecast.","author":"Agent-authored public example; reported source or explicit assumption as described"},"/scenarios/bull/years/1/depreciation":{"unit":"AUD","source":"analyst-assumption://no-tax-depreciation","rationale":"Assume no depreciation tax shield; uncertain taxable bases need reconciliation.","author":"Agent-authored public example; reported source or explicit assumption as described"},"/scenarios/bull/years/1/capex":{"unit":"AUD","source":"https://www.metalsx.com.au/wp-content/uploads/2026/07/02_MLX_Quarterly-Report_30-June-2026_Final.pdf#page=3","rationale":"Annualize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described"},"/scenarios/bull/years/1/working_capital_change":{"unit":"AUD","source":"analyst-assumption://flat-working-capital","rationale":"Assume zero annual change solely for sensitivity; inventory/receivables timing is not established.","author":"Agent-authored public example; reported source or explicit assumption as described"},"/scenarios/bull/years/1/closure":{"unit":"AUD","source":"analyst-assumption://nominal-closure","rationale":"Assume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described"},"/scenarios/bull/years/2/payable_tonnes":{"unit":"tonnes","source":"https://www.metalsx.com.au/wp-content/uploads/2026/07/02_MLX_Quarterly-Report_30-June-2026_Final.pdf#page=2","rationale":"TTM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described"},"/scenarios/bull/years/2/price":{"unit":"AUD/tonne","source":"https://www.metalsx.com.au/wp-content/uploads/2026/07/02_MLX_Quarterly-Report_30-June-2026_Final.pdf#page=2","rationale":"TTM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described"},"/scenarios/bull/years/2/fx":{"unit":"AUD/AUD","source":"https://www.metalsx.com.au/wp-content/uploads/2026/07/02_MLX_Quarterly-Report_30-June-2026_Final.pdf#page=2","rationale":"All imputed price/costs reported in AUD; identity conversion.","author":"Agent-authored public example; reported source or explicit assumption as described"},"/scenarios/bull/years/2/unit_cost":{"unit":"AUD/tonne","source":"https://www.metalsx.com.au/wp-content/uploads/2026/07/02_MLX_Quarterly-Report_30-June-2026_Final.pdf#page=2","rationale":"(TTM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described"},"/scenarios/bull/years/2/tax_rate":{"unit":"fraction","source":"analyst-assumption://simplified-tax","rationale":"Assume 30% tax on positive cash-based EBIT; no depreciation shields/losses. Not a verified fiscal forecast.","author":"Agent-authored public example; reported source or explicit assumption as described"},"/scenarios/bull/years/2/depreciation":{"unit":"AUD","source":"analyst-assumption://no-tax-depreciation","rationale":"Assume no depreciation tax shield; uncertain taxable bases need reconciliation.","author":"Agent-authored public example; reported source or explicit assumption as described"},"/scenarios/bull/years/2/capex":{"unit":"AUD","source":"https://www.metalsx.com.au/wp-content/uploads/2026/07/02_MLX_Quarterly-Report_30-June-2026_Final.pdf#page=3","rationale":"Annualize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described"},"/scenarios/bull/years/2/working_capital_change":{"unit":"AUD","source":"analyst-assumption://flat-working-capital","rationale":"Assume zero annual change solely for sensitivity; inventory/receivables timing is not established.","author":"Agent-authored public example; reported source or explicit assumption as described"},"/scenarios/bull/years/2/closure":{"unit":"AUD","source":"analyst-assumption://nominal-closure","rationale":"Assume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described"},"/scenarios/bull/years/3/payable_tonnes":{"unit":"tonnes","source":"https://www.metalsx.com.au/wp-content/uploads/2026/07/02_MLX_Quarterly-Report_30-June-2026_Final.pdf#page=2","rationale":"TTM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described"},"/scenarios/bull/years/3/price":{"unit":"AUD/tonne","source":"https://www.metalsx.com.au/wp-content/uploads/2026/07/02_MLX_Quarterly-Report_30-June-2026_Final.pdf#page=2","rationale":"TTM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described"},"/scenarios/bull/years/3/fx":{"unit":"AUD/AUD","source":"https://www.metalsx.com.au/wp-content/uploads/2026/07/02_MLX_Quarterly-Report_30-June-2026_Final.pdf#page=2","rationale":"All imputed price/costs reported in AUD; identity conversion.","author":"Agent-authored public example; reported source or explicit assumption as described"},"/scenarios/bull/years/3/unit_cost":{"unit":"AUD/tonne","source":"https://www.metalsx.com.au/wp-content/uploads/2026/07/02_MLX_Quarterly-Report_30-June-2026_Final.pdf#page=2","rationale":"(TTM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described"},"/scenarios/bull/years/3/tax_rate":{"unit":"fraction","source":"analyst-assumption://simplified-tax","rationale":"Assume 30% tax on positive cash-based EBIT; no depreciation shields/losses. Not a verified fiscal forecast.","author":"Agent-authored public example; reported source or explicit assumption as described"},"/scenarios/bull/years/3/depreciation":{"unit":"AUD","source":"analyst-assumption://no-tax-depreciation","rationale":"Assume no depreciation tax shield; uncertain taxable bases need reconciliation.","author":"Agent-authored public example; reported source or explicit assumption as described"},"/scenarios/bull/years/3/capex":{"unit":"AUD","source":"https://www.metalsx.com.au/wp-content/uploads/2026/07/02_MLX_Quarterly-Report_30-June-2026_Final.pdf#page=3","rationale":"Annualize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described"},"/scenarios/bull/years/3/working_capital_change":{"unit":"AUD","source":"analyst-assumption://flat-working-capital","rationale":"Assume zero annual change solely for sensitivity; inventory/receivables timing is not established.","author":"Agent-authored public example; reported source or explicit assumption as described"},"/scenarios/bull/years/3/closure":{"unit":"AUD","source":"analyst-assumption://nominal-closure","rationale":"Assume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described"},"/scenarios/bull/years/4/payable_tonnes":{"unit":"tonnes","source":"https://www.metalsx.com.au/wp-content/uploads/2026/07/02_MLX_Quarterly-Report_30-June-2026_Final.pdf#page=2","rationale":"TTM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described"},"/scenarios/bull/years/4/price":{"unit":"AUD/tonne","source":"https://www.metalsx.com.au/wp-content/uploads/2026/07/02_MLX_Quarterly-Report_30-June-2026_Final.pdf#page=2","rationale":"TTM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described"},"/scenarios/bull/years/4/fx":{"unit":"AUD/AUD","source":"https://www.metalsx.com.au/wp-content/uploads/2026/07/02_MLX_Quarterly-Report_30-June-2026_Final.pdf#page=2","rationale":"All imputed price/costs reported in AUD; identity conversion.","author":"Agent-authored public example; reported source or explicit assumption as described"},"/scenarios/bull/years/4/unit_cost":{"unit":"AUD/tonne","source":"https://www.metalsx.com.au/wp-content/uploads/2026/07/02_MLX_Quarterly-Report_30-June-2026_Final.pdf#page=2","rationale":"(TTM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described"},"/scenarios/bull/years/4/tax_rate":{"unit":"fraction","source":"analyst-assumption://simplified-tax","rationale":"Assume 30% tax on positive cash-based EBIT; no depreciation shields/losses. Not a verified fiscal forecast.","author":"Agent-authored public example; reported source or explicit assumption as described"},"/scenarios/bull/years/4/depreciation":{"unit":"AUD","source":"analyst-assumption://no-tax-depreciation","rationale":"Assume no depreciation tax shield; uncertain taxable bases need reconciliation.","author":"Agent-authored public example; reported source or explicit assumption as described"},"/scenarios/bull/years/4/capex":{"unit":"AUD","source":"https://www.metalsx.com.au/wp-content/uploads/2026/07/02_MLX_Quarterly-Report_30-June-2026_Final.pdf#page=3","rationale":"Annualize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described"},"/scenarios/bull/years/4/working_capital_change":{"unit":"AUD","source":"analyst-assumption://flat-working-capital","rationale":"Assume zero annual change solely for sensitivity; inventory/receivables timing is not established.","author":"Agent-authored public example; reported source or explicit assumption as described"},"/scenarios/bull/years/4/closure":{"unit":"AUD","source":"analyst-assumption://nominal-closure","rationale":"Assume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described"},"/scenarios/bull/years/5/payable_tonnes":{"unit":"tonnes","source":"https://www.metalsx.com.au/wp-content/uploads/2026/07/02_MLX_Quarterly-Report_30-June-2026_Final.pdf#page=2","rationale":"TTM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described"},"/scenarios/bull/years/5/price":{"unit":"AUD/tonne","source":"https://www.metalsx.com.au/wp-content/uploads/2026/07/02_MLX_Quarterly-Report_30-June-2026_Final.pdf#page=2","rationale":"TTM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described"},"/scenarios/bull/years/5/fx":{"unit":"AUD/AUD","source":"https://www.metalsx.com.au/wp-content/uploads/2026/07/02_MLX_Quarterly-Report_30-June-2026_Final.pdf#page=2","rationale":"All imputed price/costs reported in AUD; identity conversion.","author":"Agent-authored public example; reported source or explicit assumption as described"},"/scenarios/bull/years/5/unit_cost":{"unit":"AUD/tonne","source":"https://www.metalsx.com.au/wp-content/uploads/2026/07/02_MLX_Quarterly-Report_30-June-2026_Final.pdf#page=2","rationale":"(TTM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described"},"/scenarios/bull/years/5/royalty_rate":{"unit":"fraction","source":"https://www.metalsx.com.au/wp-content/uploads/2026/07/02_MLX_Quarterly-Report_30-June-2026_Final.pdf#page=3","rationale":"Royalties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described"},"/scenarios/bull/years/5/tax_rate":{"unit":"fraction","source":"analyst-assumption://simplified-tax","rationale":"Assume 30% tax on positive cash-based EBIT; no depreciation shields/losses. Not a verified fiscal forecast.","author":"Agent-authored public example; reported source or explicit assumption as described"},"/scenarios/bull/years/5/depreciation":{"unit":"AUD","source":"analyst-assumption://no-tax-depreciation","rationale":"Assume no depreciation tax shield; uncertain taxable bases need reconciliation.","author":"Agent-authored public example; reported source or explicit assumption as described"},"/scenarios/bull/years/5/capex":{"unit":"AUD","source":"https://www.metalsx.com.au/wp-content/uploads/2026/07/02_MLX_Quarterly-Report_30-June-2026_Final.pdf#page=3","rationale":"Annualize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described"},"/scenarios/bull/years/5/working_capital_change":{"unit":"AUD","source":"analyst-assumption://flat-working-capital","rationale":"Assume zero annual change solely for sensitivity; inventory/receivables timing is not established.","author":"Agent-authored public example; reported source or explicit assumption as described"},"/scenarios/bull/years/5/closure":{"unit":"AUD","source":"analyst-assumption://nominal-closure","rationale":"Assume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described"},"/scenarios/bull/years/5/corporate_cost":{"unit":"AUD","source":"https://www.metalsx.com.au/wp-content/uploads/2026/07/02_MLX_Quarterly-Report_30-June-2026_Final.pdf#page=8","rationale":"Annualized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described"},"/scenarios/bull/years/6/payable_tonnes":{"unit":"tonnes","source":"https://www.metalsx.com.au/wp-content/uploads/2026/07/02_MLX_Quarterly-Report_30-June-2026_Final.pdf#page=2","rationale":"TTM produced 11,287t ×1.1; IMPUTED PRODUCTION PROXY only, not payable sales. Gross imp</t>
  </si>
  <si>
    <t xml:space="preserve">uted revenue includes 100% produced and marketing cost deducts payable tin charges.","author":"Agent-authored public example; reported source or explicit assumption as described"},"/scenarios/bull/years/6/price":{"unit":"AUD/tonne","source":"https://www.metalsx.com.au/wp-content/uploads/2026/07/02_MLX_Quarterly-Report_30-June-2026_Final.pdf#page=2","rationale":"TTM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described"},"/scenarios/bull/years/6/fx":{"unit":"AUD/AUD","source":"https://www.metalsx.com.au/wp-content/uploads/2026/07/02_MLX_Quarterly-Report_30-June-2026_Final.pdf#page=2","rationale":"All imputed price/costs reported in AUD; identity conversion.","author":"Agent-authored public example; reported source or explicit assumption as described"},"/scenarios/bull/years/6/unit_cost":{"unit":"AUD/tonne","source":"https://www.metalsx.com.au/wp-content/uploads/2026/07/02_MLX_Quarterly-Report_30-June-2026_Final.pdf#page=2","rationale":"(TTM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described"},"/scenarios/bull/years/6/royalty_rate":{"unit":"fraction","source":"https://www.metalsx.com.au/wp-content/uploads/2026/07/02_MLX_Quarterly-Report_30-June-2026_Final.pdf#page=3","rationale":"Royalties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described"},"/scenarios/bull/years/6/tax_rate":{"unit":"fraction","source":"analyst-assumption://simplified-tax","rationale":"Assume 30% tax on positive cash-based EBIT; no depreciation shields/losses. Not a verified fiscal forecast.","author":"Agent-authored public example; reported source or explicit assumption as described"},"/scenarios/bull/years/6/depreciation":{"unit":"AUD","source":"analyst-assumption://no-tax-depreciation","rationale":"Assume no depreciation tax shield; uncertain taxable bases need reconciliation.","author":"Agent-authored public example; reported source or explicit assumption as described"},"/scenarios/bull/years/6/capex":{"unit":"AUD","source":"https://www.metalsx.com.au/wp-content/uploads/2026/07/02_MLX_Quarterly-Report_30-June-2026_Final.pdf#page=3","rationale":"Annualize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described"},"/scenarios/bull/years/6/working_capital_change":{"unit":"AUD","source":"analyst-assumption://flat-working-capital","rationale":"Assume zero annual change solely for sensitivity; inventory/receivables timing is not established.","author":"Agent-authored public example; reported source or explicit assumption as described"},"/scenarios/bull/years/6/closure":{"unit":"AUD","source":"analyst-assumption://nominal-closure","rationale":"Assume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described"},"/scenarios/bull/years/6/corporate_cost":{"unit":"AUD","source":"https://www.metalsx.com.au/wp-content/uploads/2026/07/02_MLX_Quarterly-Report_30-June-2026_Final.pdf#page=8","rationale":"Annualized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described"},"/reference_price":{"unit":"AUD/share","source":"https://stockanalysis.com/quote/asx/MLX/history/","rationale":"Dated public delayed close, 18 September 2026, 16:10 AEST; checked 20 September. Not a live executable price.","author":"Codex","source_id":"f75a0040df7c06a15a6b2327a573cc46de3206cc80e399f9a6bafe4342c00961"},"/quote_date":{"unit":"date","source":"https://stockanalysis.com/quote/asx/MLX/history/","rationale":"Displayed quote timestamp.","author":"Codex"}},"known_limitations":["ILLUSTRATIVE IMPUTED-REVENUE SENSITIVITY ONLY. This is not an actionable fair-value estimate or an investment recommendation.","Production is used solely as the company-style imputed-revenue proxy (100% produced tin sold/paid); it is NOT reported payable sales. The workbook labels it production_tonnes_proxy. Realized payable sales, inventory, settlement timing and revenue must replace this proxy before valuation.","The baseline price AUD63,760/t is the reported trailing-12-month LME-imputed price, NOT realized tin sales price. Scenario price and volume levels are analyst stress assumptions, not company guidance.","Unit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perpetuity.","Cash 373.998m, interest-bearing liabilities 1.100m and issued shares 886,392,538 now share June 30 2026 reporting date. Shares correct a prior 1,000-share transcription error. No current securities reconciliation or post-June cash roll-forward; issued shares remain a diluted-share proxy.","Closure is an explicit assumed AUD100m whole-operation nominal final-year payment. The reported AUD33.035m group rehabilitation provision is a present-value accounting figure, not this cash-payment estimate; actual scope/timing and other closure sites remain unmodelled.","Capex annualizes June-quarter whole-operation AUD23.4m to AUD93.6m each model year, including both sustaining and project spend. This is a scenario assumption, not guidance. No additional AISC deduction is made.","Annual corporate costs annualize group June-quarter AUD0.56m to AUD2.24m, deducted once after 50% attribution. Other investments/residual assets are set to zero only to exclude them from this limited sensitivity, not because they have zero economic value.","Tax rate30% is an analyst simplifying assumption; depreciation is assumed zero and no loss carryforwards, corporate tax shields or closure deductions are modelled. No forecast working-capital changes are assumed; this is not verified operational guidance.","Selected FY2024/FY2025 and H1 2025/H1 2026 actuals included. Half-years are not annual periods. Reported group actuals are already attributable; do not apply 50% again. These are selected historical observations, not integrated forecast statements.","August interim moves Rentails FEED/permitting expectation to late CY2026 and FID to CY2027. No sanctioned current capex/financing plan captured; Rentails valuation excluded. The historical cash bridge includes strategic investments; no cash is assumed freely distributable.","Dated delayed reference quote AUD2.15 at 18 September 2026 16:10 AEST, from Stock Analysis/S&amp;P Global. Quote context does not turn illustrative values into price targets. June issued shares remain a diluted-share proxy; no complete post-June securities reconciliation.","First annual period now includes a 6/5/4-week bear/base/bull shutdown sensitivity from the disclosed Q1 2027 hoist works. Lost output with no recovery is an analyst stress, not guidance: stockpile feed/catch-up could reduce the loss. Annual operating cost held fixed, increasing per-tonne cost. Later periods retain earlier run-rate proxies.","Annual periods 2027 onward are simplified period-end flows discounted one year onward; no remaining-2026 stub or exact monthly cash timing. Selected historical lines and operating data do not establish a supported payable-sales forecast."],"notes":"September 20 analyst refresh: June 2026 balance sheet and interim actuals added, share transcription corrected; operational scenario assumptions intentionally unchanged for comparability. See dated thesis for causal analysis and limitations."},"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2/payable_tonnes":{"sheet":"Assumptions","cell":"E25"},"/scenarios/bear/years/0/price":{"sheet":"Assumptions","cell":"C26"},"/scenarios/bear/years/1/price":{"sheet":"Assumptions","cell":"D26"},"/scenarios/bear/years/2/price":{"sheet":"Assumptions","cell":"E26"},"/scenarios/bear/years/0/fx":{"sheet":"Assumptions","cell":"C27"},"/scenarios/bear/years/1/fx":{"sheet":"Assumptions","cell":"D27"},"/scenarios/bear/years/2/fx":{"sheet":"Assumptions","cell":"E27"},"/scenarios/bear/years/0/unit_cost":{"sheet":"Assumptions","cell":"C28"},"/scenarios/bear/years/1/unit_cost":{"sheet":"Assumptions","cell":"D28"},"/scenarios/bear/years/2/unit_cost":{"sheet":"Assumptions","cell":"E28"},"/scenarios/bear/years/0/royalty_rate":{"sheet":"Assumptions","cell":"C29"},"/scenarios/bear/years/1/royalty_rate":{"sheet":"Assumptions","cell":"D29"},"/scenarios/bear/years/2/royalty_rate":{"sheet":"Assumptions","cell":"E29"},"/scenarios/bear/years/0/tax_rate":{"sheet":"Assumptions","cell":"C30"},"/scenarios/bear/years/1/tax_rate":{"sheet":"Assumptions","cell":"D30"},"/scenarios/bear/years/2/tax_rate":{"sheet":"Assumptions","cell":"E30"},"/scenarios/bear/years/0/depreciation":{"sheet":"Assumptions","cell":"C31"},"/scenarios/bear/years/1/depreciation":{"sheet":"Assumptions","cell":"D31"},"/scenarios/bear/years/2/depreciation":{"sheet":"Assumptions","cell":"E31"},"/scenarios/bear/years/0/capex":{"sheet":"Assumptions","cell":"C32"},"/scenarios/bear/years/1/capex":{"sheet":"Assumptions","cell":"D32"},"/scenarios/bear/years/2/capex":{"sheet":"Assumptions","cell":"E32"},"/scenarios/bear/years/0/working_capital_change":{"sheet":"Assumptions","cell":"C33"},"/scenarios/bear/years/1/working_capital_change":{"sheet":"Assumptions","cell":"D33"},"/scenarios/bear/years/2/working_capital_change":{"sheet":"Assumptions","cell":"E33"},"/scenarios/bear/years/0/closure":{"sheet":"Assumptions","cell":"C34"},"/scenarios/bear/years/1/closure":{"sheet":"Assumptions","cell":"D34"},"/scenarios/bear/years/2/closure":{"sheet":"Assumptions","cell":"E34"},"/scenarios/bear/years/0/corporate_cost":{"sheet":"Assumptions","cell":"C35"},"/scenarios/bear/years/1/corporate_cost":{"sheet":"Assumptions","cell":"D35"},"/scenarios/bear/years/2/corporate_cost":{"sheet":"Assumptions","cell":"E35"},"/scenarios/base/discount_rate":{"sheet":"Assumptions","cell":"B39"},"/scenarios/base/ownership":{"sheet":"Assumptions","cell":"B40"},"/scenarios/base/residual_value":{"sheet":"Assumptions","cell":"B41"},"/scenarios/base/years/0/payable_tonnes":{"sheet":"Assumptions","cell":"C44"},"/scenarios/base/years/1/payable_tonnes":{"sheet":"Assumptions","cell":"D44"},"/scenarios/base/years/2/payable_tonnes":{"sheet":"Assumptions","cell":"E44"},"/scenarios/base/years/3/payable_tonnes":{"sheet":"Assumptions","cell":"F44"},"/scenarios/base/years/4/payable_tonnes":{"sheet":"Assumptions","cell":"G44"},"/scenarios/base/years/0/price":{"sheet":"Assumptions","cell":"C45"},"/scenarios/base/years/1/price":{"sheet":"Assumptions","cell":"D45"},"/scenarios/base/years/2/price":{"sheet":"Assumptions","cell":"E45"},"/scenarios/base/years/3/price":{"sheet":"Assumptions","cell":"F45"},"/scenarios/base/years/4/price":{"sheet":"Assumptions","cell":"G45"},"/scenarios/base/years/0/fx":{"sheet":"Assumptions","cell":"C46"},"/scenarios/base/years/1/fx":{"sheet":"Assumptions","cell":"D46"},"/scenarios/base/years/2/fx":{"sheet":"Assumptions","cell":"E46"},"/scenarios/base/years/3/fx":{"sheet":"Assumptions","cell":"F46"},"/scenarios/base/years/4/fx":{"sheet":"Assumptions","cell":"G46"},"/scenarios/base/years/0/unit_cost":{"sheet":"Assumptions","cell":"C47"},"/scenarios/base/years/1/unit_cost":{"sheet":"Assumptions","cell":"D47"},"/scenarios/base/years/2/unit_cost":{"sheet":"Assumptions","cell":"E47"},"/scenarios/base/years/3/unit_cost":{"sheet":"Assumptions","cell":"F47"},"/scenarios/base/years/4/unit_cost":{"sheet":"Assumptions","cell":"G47"},"/scenarios/base/years/0/royalty_rate":{"sheet":"Assumptions","cell":"C48"},"/scenarios/base/years/1/royalty_rate":{"sheet":"Assumptions","cell":"D48"},"/scenarios/base/years/2/royalty_rate":{"sheet":"Assumptions","cell":"E48"},"/scenarios/base/years/3/royalty_rate":{"sheet":"Assumptions","cell":"F48"},"/scenarios/base/years/4/royalty_rate":{"sheet":"Assumptions","cell":"G48"},"/scenarios/base/years/0/tax_rate":{"sheet":"Assumptions","cell":"C49"},"/scenarios/base/years/1/tax_rate":{"sheet":"Assumptions","cell":"D49"},"/scenarios/base/years/2/tax_rate":{"sheet":"Assumptions","cell":"E49"},"/scenarios/base/years/3/tax_rate":{"sheet":"Assumptions","cell":"F49"},"/scenarios/base/years/4/tax_rate":{"sheet":"Assumptions","cell":"G49"},"/scenarios/base/years/0/depreciation":{"sheet":"Assumptions","cell":"C50"},"/scenarios/base/years/1/depreciation":{"sheet":"Assumptions","cell":"D50"},"/scenarios/base/years/2/depreciation":{"sheet":"Assumptions","cell":"E50"},"/scenarios/base/years/3/depreciation":{"sheet":"Assumptions","cell":"F50"},"/scenarios/base/years/4/depreciation":{"sheet":"Assumptions","cell":"G50"},"/scenarios/base/years/0/capex":{"sheet":"Assumptions","cell":"C51"},"/scenarios/base/years/1/capex":{"sheet":"Assumptions","cell":"D51"},"/scenarios/base/years/2/capex":{"sheet":"Assumptions","cell":"E51"},"/scenarios/base/years/3/capex":{"sheet":"Assumptions","cell":"F51"},"/scenarios/base/years/4/capex":{"sheet":"Assumptions","cell":"G51"},"/scenarios/base/years/0/working_capital_change":{"sheet":"Assumptions","cell":"C52"},"/scenarios/base/years/1/working_capital_change":{"sheet":"Assumptions","cell":"D52"},"/scenarios/base/years/2/working_capital_change":{"sheet":"Assumptions","cell":"E52"},"/scenarios/base/years/3/working_capital_change":{"sheet":"Assumptions","cell":"F52"},"/scenarios/base/years/4/working_capital_change":{"sheet":"Assumptions","cell":"G52"},"/scenarios/base/years/0/closure":{"sheet":"Assumptions","cell":"C53"},"/scenarios/base/years/1/closure":{"sheet":"Assumptions","cell":"D53"},"/scenarios/base/years/2/closure":{"sheet":"Assumptions","cell":"E53"},"/scenarios/base/years/3/closure":{"sheet":"Assumptions","cell":"F53"},"/scenarios/base/years/4/closure":{"sheet":"Assumptions","cell":"G53"},"/scenarios/base/years/0/corporate_cost":{"sheet":"Assumptions","cell":"C54"},"/scenarios/base/years/1/corporate_cost":{"sheet":"Assumptions","cell":"D54"},"/scenarios/base/years/2/corporate_cost":{"sheet":"Assumptions","cell":"E54"},"/scenarios/base/years/3/corporate_cost":{"sheet":"Assumptions","cell":"F54"},"/scenarios/base/years/4/corporate_cost":{"sheet":"Assumptions","cell":"G54"},"/scenarios/bull/discount_rate":{"sheet":"Assumptions","cell":"B58"},"/scenarios/bull/ownership":{"sheet":"Assumptions","cell":"B59"},"/scenarios/bull/residual_value":{"sheet":"Assumptions","cell":"B60"},"/scenarios/bull/years/0/payable_tonnes":{"sheet":"Assumptions","cell":"C63"},"/scenarios/bull/years/1/payable_tonnes":{"sheet":"Assumptions","cell":"D63"},"/scenarios/bull/years/2/payable_tonnes":{"sheet":"Assumptions","cell":"E63"},"/scenarios/bull/years/3/payable_tonnes":{"sheet":"Assumptions","cell":"F63"},"/scenarios/bull/years/4/payable_tonnes":{"sheet":"Assumptions","cell":"G63"},"/scenarios/bull/years/5/payable_tonnes":{"sheet":"Assumptions","cell":"H63"},"/scenarios/bull/years/6/payable_tonnes":{"sheet":"Assumptions","cell":"I63"},"/scenarios/bull/years/0/price":{"sheet":"Assumptions","cell":"C64"},"/scenarios/bull/years/1/price":{"sheet":"Assumptions","cell":"D64"},"/scenarios/bull/years/2/price":{"sheet":"Assumptions","cell":"E64"},"/scenarios/bull/years/3/price":{"sheet":"Assumptions","cell":"F64"},"/scenarios/bull/years/4/price":{"sheet":"Assumptions","cell":"G64"},"/scenarios/bull/years/5/price":{"sheet":"Assumptions","cell":"H64"},"/scenarios/bull/years/6/price":{"sheet":"Assumptions","cell":"I64"},"/scenarios/bull/years/0/fx":{"sheet":"Assumptions","cell":"C65"},"/scenarios/bull/years/1/fx":{"sheet":"Assumptions","cell":"D65"},"/scenarios/bull/years/2/fx":{"sheet":"Assumptions","cell":"E65"},"/scenarios/bull/years/3/fx":{"sheet":"Assumptions","cell":"F65"},"/scenarios/bull/years/4/fx":{"sheet":"Assumptions","cell":"G65"},"/scenarios/bull/years/5/fx":{"sheet":"Assumptions","cell":"H65"},"/scenarios/bull/years/6/fx":{"sheet":"Assumptions","cell":"I65"},"/scenarios/bull/years/0/unit_cost":{"sheet":"Assumptions","cell":"C66"},"/scenarios/bull/years/1/unit_cost":{"sheet":"Assumptions","cell":"D66"},"/scenarios/bull/years/2/unit_cost":{"sheet":"Assumptions","cell":"E66"},"/scenarios/bull/years/3/unit_cost":{"sheet":"Assumptions","cell":"F66"},"/scenarios/bull/years/4/unit_cost":{"sheet":"Assumptions","cell":"G66"},"/scenarios/bull/years/5/unit_cost":{"sheet":"Assumptions","cell":"H66"},"/scenarios/bull/years/6/unit_cost":{"sheet":"Assumptions","cell":"I66"},"/scenarios/bull/years/0/royalty_rate":{"sheet":"Assumptions","cell":"C67"},"/scenarios/bull/years/1/royalty_rate":{"sheet":"Assumptions","cell":"D67"},"/scenarios/bull/years/2/royalty_rate":{"sheet":"Assumptions","cell":"E67"},"/scenarios/bull/years/3/royalty_rate":{"sheet":"Assumptions","cell":"F67"},"/scenarios/bull/years/4/royalty_rate":{"sheet":"Assumptions","cell":"G67"},"/scenarios/bull/years/5/royalty_rate":{"sheet":"Assumptions","cell":"H67"},"/scenarios/bull/years/6/royalty_rate":{"sheet":"Assumptions","cell":"I67"},"/scenarios/bull/years/0/tax_rate":{"sheet":"Assumptions","cell":"C68"},"/scenarios/bull/years/1/tax_rate":{"sheet":"Assumptions","cell":"D68"},"/scenarios/bull/years/2/tax_rate":{"sheet":"Assumptions","cell":"E68"},"/scenarios/bull/years/3/tax_rate":{"sheet":"Assumptions","cell":"F68"},"/scenarios/bull/years/4/tax_rate":{"sheet":"Assumptions","cell":"G68"},"/scenarios/bull/years/5/tax_rate":{"sheet":"Assumptions","cell":"H68"},"/scenarios/bull/years/6/tax_rate":{"sheet":"Assumptions","cell":"I68"},"/scenarios/bull/years/0/depreciation":{"sheet":"Assumptions","cell":"C69"},"/scenarios/bull/years/1/depreciation":{"sheet":"Assumptions","cell":"D69"},"/scenarios/bull/years/2/depreciation":{"sheet":"Assumptions","cell":"E69"},"/scenarios/bull/years/3/depreciation":{"sheet":"Assumptions","cell":"F69"},"/scenarios/bull/years/4/depreciation":{"sheet":"Assumptions","cell":"G69"},"/scenarios/bull/years/5/depreciation":{"sheet":"Assumptions","cell":"H69"},"/scenarios/bull/years/6/depreciation":{"sheet":"Assumptions","cell":"I69"},"/scenarios/bull/years/0/capex":{"sheet":"Assumptions","cell":"C70"},"/scenarios/bull/years/1/capex":{"sheet":"Assumptions","cell":"D70"},"/scenarios/bull/years/2/capex":{"sheet":"Assumptions","cell":"E70"},"/scenarios/bull/years/3/capex":{"sheet":"Assumptions","cell":"F70"},"/scenarios/bull/years/4/capex":{"sheet":"Assumptions","cell":"G70"},"/scenarios/bull/years/5/capex":{"sheet":"Assumptions","cell":"H70"},"/scenarios/bull/years/6/capex":{"sheet":"Assumptions","cell":"I70"},"/scenarios/bull/years/0/working_capital_change":{"sheet":"Assumptions","cell":"C71"},"/scenarios/bull/years/1/working_capital_change":{"sheet":"Assumptions","cell":"D71"},"/scenarios/bull/years/2/working_capital_change":{"sheet":"Assumptions","cell":"E71"},"/scenarios/bull/years/3/working_capital_change":{"sheet":"Assumptions","cell":"F71"},"/scenarios/bull/years/4/working_capital_change":{"sheet":"Assumptions","cell":"G71"},"/scenarios/bull/years/5/working_capital_change":{"sheet":"Assumptions","cell":"H71"},"/scenarios/bull/years/6/working_capital_change":{"sheet":"Assumptions","cell":"I71"},"/scenarios/bull/years/0/closure":{"sheet":"Assumptions","cell":"C72"},"/scenarios/bull/years/1/closure":{"sheet":"Assumptions","cell":"D72"},"/scenarios/bull/years/2/closure":{"sheet":"Assumptions","cell":"E72"},"/scenarios/bull/years/3/closure":{"sheet":"Assumptions","cell":"F72"},"/scenarios/bull/years/4/closure":{"sheet":"Assumptions","cell":"G72"},"/scenarios/bull/years/5/closure":{"sheet":"Assumptions","cell":"H72"},"/scenarios/bull/years/6/closure":{"sheet":"Assumptions","cell":"I72"},"/scenarios/bull/years/0/corporate_cost":{"sheet":"Assumptions","cell":"C73"},"/scenarios/bull/years/1/corporate_cost":{"sheet":"Assumptions","cell":"D73"},"/scenarios/bull/years/2/corporate_cost":{"sheet":"Assumptions","cell":"E73"},"/scenarios/bull/years/3/corporate_cost":{"sheet":"Assumptions","cell":"F73"},"/scenarios/bull/years/4/corporate_cost":{"sheet":"Assumptions","cell":"G73"},"/scenarios/bull/years/5/corporate_cost":{"sheet":"Assumptions","cell":"H73"},"/scenarios/bull/years/6/corporate_cost":{"sheet":"Assumptions","cell":"I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years/2/year":{"sheet":"Operating","cell":"E9"},"years/2/revenue":{"sheet":"Operating","cell":"E23"},"years/2/operating_cost":{"sheet":"Operating","cell":"E24"},"years/2/royalties":{"sheet":"Operating","cell":"E25"},"years/2/ebit":{"sheet":"Operating","cell":"E26"},"years/2/tax":{"sheet":"Operating","cell":"E27"},"years/2/nopat":{"sheet":"Operating","cell":"E28"},"years/2/operating_fcf":{"sheet":"Operating","cell":"E29"},"years/2/fcf":{"sheet":"Operating","cell":"E30"},"years/2/present_value":{"sheet":"Operating","cell":"E31"},"years/2/illustrative_cash":{"sheet":"Operating","cell":"E32"},"years/3/year":{"sheet":"Operating","cell":"F9"},"years/3/revenue":{"sheet":"Operating","cell":"F23"},"years/3/operating_cost":{"sheet":"Operating","cell":"F24"},"years/3/royalties":{"sheet":"Operating","cell":"F25"},"years/3/ebit":{"sheet":"Operating","cell":"F26"},"years/3/tax":{"sheet":"Operating","cell":"F27"},"years/3/nopat":{"sheet":"Operating","cell":"F28"},"years/3/operating_fcf":{"sheet":"Operating","cell":"F29"},"years/3/fcf":{"sheet":"Operating","cell":"F30"},"years/3/present_value":{"sheet":"Operating","cell":"F31"},"years/3/illustrative_cash":{"sheet":"Operating","cell":"F32"},"years/4/year":{"sheet":"Operating","cell":"G9"},"years/4/revenue":{"sheet":"Operating","cell":"G23"},"years/4/operating_cost":{"sheet":"Operating","cell":"G24"},"years/4/royalties":{"sheet":"Operating","cell":"G25"},"years/4/ebit":{"sheet":"Operating","cell":"G26"},"years/4/tax":{"sheet":"Operating","cell":"G27"},"years/4/nopat":{"sheet":"Operating","cell":"G28"},"years/4/operating_fcf":{"sheet":"Operating","cell":"G29"},"years/4/fcf":{"sheet":"Operating","cell":"G30"},"years/4/present_value":{"sheet":"Operating","cell":"G31"},"years/4/illustrative_cash":{"sheet":"Operating","cell":"G32"},"years/5/year":{"sheet":"Operating","cell":"H9"},"years/5/revenue":{"sheet":"Operating","cell":"H23"},"years/5/operating_cost":{"sheet":"Operating","cell":"H24"},"years/5/royalties":{"sheet":"Operating","cell":"H25"},"years/5/ebit":{"sheet":"Operating","cell":"H26"},"years/5/tax":{"sheet":"Operating","cell":"H27"},"years/5/nopat":{"sheet":"Operating","cell":"H28"},"years/5/operating_fcf":{"sheet":"Operating","cell":"H29"},"years/5/fcf":{"sheet":"Operating","cell":"H30"},"years/5/present_value":{"sheet":"Operating","cell":"H31"},"years/5/illustrative_cash":{"sheet":"Operating","cell":"H32"},"years/6/year":{"sheet":"Operating","cell":"I9"},"years/6/revenue":{"sheet":"Operating","cell":"I23"},"years/6/operating_cost":{"sheet":"Operating","cell":"I24"},"years/6/royalties":{"sheet":"Operating","cell":"I25"},"years/6/ebit":{"sheet":"Operating","cell":"I26"},"years/6/tax":{"sheet":"Operating","cell":"I27"},"years/6/nopat":{"sheet":"Operating","cell":"I28"},"years/6/operating_fcf":{"sheet":"Operating","cell":"I29"},"years/6/fcf":{"sheet":"Operating","cell":"I30"},"years/6/present_value":{"sheet":"Operating","cell":"I31"},"years/6/illustrative_cash":{"sheet":"Operating","cell":"I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imputed_production\",IF(Assumptions!$B$4=\"base\",\"imputed_production\",\"imputed_production\"))","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t>
  </si>
  <si>
    <t xml:space="preserve">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$17-'Operating'!$D$18-'Operating'!$D$19","Operating!D30":"='Operating'!$D$29*'Operating'!$B$5-'Operating'!$D$20+IF(2='Operating'!$B$7,'Operating'!$B$6,0)","Operating!D31":"='Operating'!$D$30/(1+'Operating'!$B$4)^2","Operating!D32":"='Operating'!$C$32+'Operating'!$D$30","Operating!E9":"=YEAR(DATEVALUE('Assumptions'!$B$12))+3","Operating!E10":"=IF(Assumptions!$B$4=\"bear\",'Assumptions'!$E$25,IF(Assumptions!$B$4=\"base\",'Assumptions'!$E$44,'Assumptions'!$E$63))","Operating!E11":"=IF(Assumptions!$B$4=\"bear\",'Assumptions'!$E$26,IF(Assumptions!$B$4=\"base\",'Assumptions'!$E$45,'Assumptions'!$E$64))","Operating!E12":"=IF(Assumptions!$B$4=\"bear\",'Assumptions'!$E$27,IF(Assumptions!$B$4=\"base\",'Assumptions'!$E$46,'Assumptions'!$E$65))","Operating!E13":"=IF(Assumptions!$B$4=\"bear\",'Assumptions'!$E$28,IF(Assumptions!$B$4=\"base\",'Assumptions'!$E$47,'Assumptions'!$E$66))","Operating!E14":"=IF(Assumptions!$B$4=\"bear\",'Assumptions'!$E$29,IF(Assumptions!$B$4=\"base\",'Assumptions'!$E$48,'Assumptions'!$E$67))","Operating!E15":"=IF(Assumptions!$B$4=\"bear\",'Assumptions'!$E$30,IF(Assumptions!$B$4=\"base\",'Assumptions'!$E$49,'Assumptions'!$E$68))","Operating!E16":"=IF(Assumptions!$B$4=\"bear\",'Assumptions'!$E$31,IF(Assumptions!$B$4=\"base\",'Assumptions'!$E$50,'Assumptions'!$E$69))","Operating!E17":"=IF(Assumptions!$B$4=\"bear\",'Assumptions'!$E$32,IF(Assumptions!$B$4=\"base\",'Assumptions'!$E$51,'Assumptions'!$E$70))","Operating!E18":"=IF(Assumptions!$B$4=\"bear\",'Assumptions'!$E$33,IF(Assumptions!$B$4=\"base\",'Assumptions'!$E$52,'Assumptions'!$E$71))","Operating!E19":"=IF(Assumptions!$B$4=\"bear\",'Assumptions'!$E$34,IF(Assumptions!$B$4=\"base\",'Assumptions'!$E$53,'Assumptions'!$E$72))","Operating!E20":"=IF(Assumptions!$B$4=\"bear\",'Assumptions'!$E$35,IF(Assumptions!$B$4=\"base\",'Assumptions'!$E$54,'Assumptions'!$E$73))","Operating!E23":"='Operating'!$E$10*'Operating'!$E$11*'Operating'!$E$12","Operating!E24":"='Operating'!$E$10*'Operating'!$E$13","Operating!E25":"='Operating'!$E$23*'Operating'!$E$14","Operating!E26":"='Operating'!$E$23-'Operating'!$E$24-'Operating'!$E$25-'Operating'!$E$16","Operating!E27":"=MAX(0,'Operating'!$E$26)*'Operating'!$E$15","Operating!E28":"='Operating'!$E$26-'Operating'!$E$27","Operating!E29":"='Operating'!$E$28+'Operating'!$E$16-'Operating'!$E$17-'Operating'!$E$18-'Operating'!$E$19","Operating!E30":"='Operating'!$E$29*'Operating'!$B$5-'Operating'!$E$20+IF(3='Operating'!$B$7,'Operating'!$B$6,0)","Operating!E31":"='Operating'!$E$30/(1+'Operating'!$B$4)^3","Operating!E32":"='Operating'!$D$32+'Operating'!$E$30","Operating!F9":"=YEAR(DATEVALUE('Assumptions'!$B$12))+4","Operating!F10":"=IF(Assumptions!$B$4=\"bear\",'Assumptions'!$F$25,IF(Assumptions!$B$4=\"base\",'Assumptions'!$F$44,'Assumptions'!$F$63))","Operating!F11":"=IF(Assumptions!$B$4=\"bear\",'Assumptions'!$F$26,IF(Assumptions!$B$4=\"base\",'Assumptions'!$F$45,'Assumptions'!$F$64))","Operating!F12":"=IF(Assumptions!$B$4=\"bear\",'Assumptions'!$F$27,IF(Assumptions!$B$4=\"base\",'Assumptions'!$F$46,'Assumptions'!$F$65))","Operating!F13":"=IF(Assumptions!$B$4=\"bear\",'Assumptions'!$F$28,IF(Assumptions!$B$4=\"base\",'Assumptions'!$F$47,'Assumptions'!$F$66))","Operating!F14":"=IF(Assumptions!$B$4=\"bear\",'Assumptions'!$F$29,IF(Assumptions!$B$4=\"base\",'Assumptions'!$F$48,'Assumptions'!$F$67))","Operating!F15":"=IF(Assumptions!$B$4=\"bear\",'Assumptions'!$F$30,IF(Assumptions!$B$4=\"base\",'Assumptions'!$F$49,'Assumptions'!$F$68))","Operating!F16":"=IF(Assumptions!$B$4=\"bear\",'Assumptions'!$F$31,IF(Assumptions!$B$4=\"base\",'Assumptions'!$F$50,'Assumptions'!$F$69))","Operating!F17":"=IF(Assumptions!$B$4=\"bear\",'Assumptions'!$F$32,IF(Assumptions!$B$4=\"base\",'Assumptions'!$F$51,'Assumptions'!$F$70))","Operating!F18":"=IF(Assumptions!$B$4=\"bear\",'Assumptions'!$F$33,IF(Assumptions!$B$4=\"base\",'Assumptions'!$F$52,'Assumptions'!$F$71))","Operating!F19":"=IF(Assumptions!$B$4=\"bear\",'Assumptions'!$F$34,IF(Assumptions!$B$4=\"base\",'Assumptions'!$F$53,'Assumptions'!$F$72))","Operating!F20":"=IF(Assumptions!$B$4=\"bear\",'Assumptions'!$F$35,IF(Assumptions!$B$4=\"base\",'Assumptions'!$F$54,'Assumptions'!$F$73))","Operating!F23":"='Operating'!$F$10*'Operating'!$F$11*'Operating'!$F$12","Operating!F24":"='Operating'!$F$10*'Operating'!$F$13","Operating!F25":"='Operating'!$F$23*'Operating'!$F$14","Operating!F26":"='Operating'!$F$23-'Operating'!$F$24-'Operating'!$F$25-'Operating'!$F$16","Operating!F27":"=MAX(0,'Operating'!$F$26)*'Operating'!$F$15","Operating!F28":"='Operating'!$F$26-'Operating'!$F$27","Operating!F29":"='Operating'!$F$28+'Operating'!$F$16-'Operating'!$F$17-'Operating'!$F$18-'Operating'!$F$19","Operating!F30":"='Operating'!$F$29*'Operating'!$B$5-'Operating'!$F$20+IF(4='Operating'!$B$7,'Operating'!$B$6,0)","Operating!F31":"='Operating'!$F$30/(1+'Operating'!$B$4)^4","Operating!F32":"='Operating'!$E$32+'Operating'!$F$30","Operating!G9":"=YEAR(DATEVALUE('Assumptions'!$B$12))+5","Operating!G10":"=IF(Assumptions!$B$4=\"bear\",'Assumptions'!$G$25,IF(Assumptions!$B$4=\"base\",'Assumptions'!$G$44,'Assumptions'!$G$63))","Operating!G11":"=IF(Assumptions!$B$4=\"bear\",'Assumptions'!$G$26,IF(Assumptions!$B$4=\"base\",'Assumptions'!$G$45,'Assumptions'!$G$64))","Operating!G12":"=IF(Assumptions!$B$4=\"bear\",'Assumptions'!$G$27,IF(Assumptions!$B$4=\"base\",'Assumptions'!$G$46,'Assumptions'!$G$65))","Operating!G13":"=IF(Assumptions!$B$4=\"bear\",'Assumptions'!$G$28,IF(Assumptions!$B$4=\"base\",'Assumptions'!$G$47,'Assumptions'!$G$66))","Operating!G14":"=IF(Assumptions!$B$4=\"bear\",'Assumptions'!$G$29,IF(Assumptions!$B$4=\"base\",'Assumptions'!$G$48,'Assumptions'!$G$67))","Operating!G15":"=IF(Assumptions!$B$4=\"bear\",'Assumptions'!$G$30,IF(Assumptions!$B$4=\"base\",'Assumptions'!$G$49,'Assumptions'!$G$68))","Operating!G16":"=IF(Assumptions!$B$4=\"bear\",'Assumptions'!$G$31,IF(Assumptions!$B$4=\"base\",'Assumptions'!$G$50,'Assumptions'!$G$69))","Operating!G17":"=IF(Assumptions!$B$4=\"bear\",'Assumptions'!$G$32,IF(Assumptions!$B$4=\"base\",'Assumptions'!$G$51,'Assumptions'!$G$70))","Operating!G18":"=IF(Assumptions!$B$4=\"bear\",'Assumptions'!$G$33,IF(Assumptions!$B$4=\"base\",'Assumptions'!$G$52,'Assumptions'!$G$71))","Operating!G19":"=IF(Assumptions!$B$4=\"bear\",'Assumptions'!$G$34,IF(Assumptions!$B$4=\"base\",'Assumptions'!$G$53,'Assumptions'!$G$72))","Operating!G20":"=IF(Assumptions!$B$4=\"bear\",'Assumptions'!$G$35,IF(Assumptions!$B$4=\"base\",'Assumptions'!$G$54,'Assumptions'!$G$73))","Operating!G23":"='Operating'!$G$10*'Operating'!$G$11*'Operating'!$G$12","Operating!G24":"='Operating'!$G$10*'Operating'!$G$13","Operating!G25":"='Operating'!$G$23*'Operating'!$G$14","Operating!G26":"='Operating'!$G$23-'Operating'!$G$24-'Operating'!$G$25-'Operating'!$G$16","Operating!G27":"=MAX(0,'Operating'!$G$26)*'Operating'!$G$15","Operating!G28":"='Operating'!$G$26-'Operating'!$G$27","Operating!G29":"='Operating'!$G$28+'Operating'!$G$16-'Operating'!$G$17-'Operating'!$G$18-'Operating'!$G$19","Operating!G30":"='Operating'!$G$29*'Operating'!$B$5-'Operating'!$G$20+IF(5='Operating'!$B$7,'Operating'!$B$6,0)","Operating!G31":"='Operating'!$G$30/(1+'Operating'!$B$4)^5","Operating!G32":"='Operating'!$F$32+'Operating'!$G$30","Operating!H9":"=YEAR(DATEVALUE('Assumptions'!$B$12))+6","Operating!H10":"=IF(Assumptions!$B$4=\"bear\",'Assumptions'!$H$25,IF(Assumptions!$B$4=\"base\",'Assumptions'!$H$44,'Assumptions'!$H$63))","Operating!H11":"=IF(Assumptions!$B$4=\"bear\",'Assumptions'!$H$26,IF(Assumptions!$B$4=\"base\",'Assumptions'!$H$45,'Assumptions'!$H$64))","Operating!H12":"=IF(Assumptions!$B$4=\"bear\",'Assumptions'!$H$27,IF(Assumptions!$B$4=\"base\",'Assumptions'!$H$46,'Assumptions'!$H$65))","Operating!H13":"=IF(Assumptions!$B$4=\"bear\",'Assumptions'!$H$28,IF(Assumptions!$B$4=\"base\",'Assumptions'!$H$47,'Assumptions'!$H$66))","Operating!H14":"=IF(Assumptions!$B$4=\"bear\",'Assumptions'!$H$29,IF(Assumptions!$B$4=\"base\",'Assumptions'!$H$48,'Assumptions'!$H$67))","Operating!H15":"=IF(Assumptions!$B$4=\"bear\",'Assumptions'!$H$30,IF(Assumptions!$B$4=\"base\",'Assumptions'!$H$49,'Assumptions'!$H$68))","Operating!H16":"=IF(Assumptions!$B$4=\"bear\",'Assumptions'!$H$31,IF(Assumptions!$B$4=\"base\",'Assumptions'!$H$50,'Assumptions'!$H$69))","Operating!H17":"=IF(Assumptions!$B$4=\"bear\",'Assumptions'!$H$32,IF(Assumptions!$B$4=\"base\",'Assumptions'!$H$51,'Assumptions'!$H$70))","Operating!H18":"=IF(Assumptions!$B$4=\"bear\",'Assumptions'!$H$33,IF(Assumptions!$B$4=\"base\",'Assumptions'!$H$52,'Assumptions'!$H$71))","Operating!H19":"=IF(Assumptions!$B$4=\"bear\",'Assumptions'!$H$34,IF(Assumptions!$B$4=\"base\",'Assumptions'!$H$53,'Assumptions'!$H$72))","Operating!H20":"=IF(Assumptions!$B$4=\"bear\",'Assumptions'!$H$35,IF(Assumptions!$B$4=\"base\",'Assumptions'!$H$54,'Assumptions'!$H$73))","Operating!H23":"='Operating'!$H$10*'Operating'!$H$11*'Operating'!$H$12","Operating!H24":"='Operating'!$H$10*'Operating'!$H$13","Operating!H25":"='Operating'!$H$23*'Operating'!$H$14","Operating!H26":"='Operating'!$H$23-'Operating'!$H$24-'Operating'!$H$25-'Operating'!$H$16","Operating!H27":"=MAX(0,'Operating'!$H$26)*'Operating'!$H$15","Operating!H28":"='Operating'!$H$26-'Operating'!$H$27","Operating!H29":"='Operating'!$H$28+'Operating'!$H$16-'Operating'!$H$17-'Operating'!$H$18-'Operating'!$H$19","Operating!H30":"='Operating'!$H$29*'Operating'!$B$5-'Operating'!$H$20+IF(6='Operating'!$B$7,'Operating'!$B$6,0)","Operating!H31":"='Operating'!$H$30/(1+'Operating'!$B$4)^6","Operating!H32":"='Operating'!$G$32+'Operating'!$H$30","Operating!I9":"=YEAR(DATEVALUE('Assumptions'!$B$12))+7","Operating!I10":"=IF(Assumptions!$B$4=\"bear\",'Assumptions'!$I$25,IF(Assumptions!$B$4=\"base\",'Assumptions'!$I$44,'Assumptions'!$I$63))","Operating!I11":"=IF(Assumptions!$B$4=\"bear\",'Assumptions'!$I$26,IF(Assumptions!$B$4=\"base\",'Assumptions'!$I$45,'Assumptions'!$I$64))","Operating!I12":"=IF(Assumptions!$B$4=\"bear\",'Assumptions'!$I$27,IF(Assumptions!$B$4=\"base\",'Assumptions'!$I$46,'Assumptions'!$I$65))","Operating!I13":"=IF(Assumptions!$B$4=\"bear\",'Assumptions'!$I$28,IF(Assumptions!$B$4=\"base\",'Assumptions'!$I$47,'Assumptions'!$I$66))","Operating!I14":"=IF(Assumptions!$B$4=\"bear\",'Assumptions'!$I$29,IF(Assumptions!$B$4=\"base\",'Assumptions'!$I$48,'Assumptions'!$I$67))","Operating!I15":"=IF(Assumptions!$B$4=\"bear\",'Assumptions'!$I$30,IF(Assumptions!$B$4=\"base\",'Assumptions'!$I$49,'Assumptions'!$I$68))","Operating!I16":"=IF(Assumptions!$B$4=\"bear\",'Assumptions'!$I$31,IF(Assumptions!$B$4=\"base\",'Assumptions'!$I$50,'Assumptions'!$I$69))","Operating!I17":"=IF(Assumptions!$B$4=\"bear\",'Assumptions'!$I$32,IF(Assumptions!$B$4=\"base\",'Assumptions'!$I$51,'Assumptions'!$I$70))","Operating!I18":"=IF(Assumptions!$B$4=\"bear\",'Assumptions'!$I$33,IF(Assumptions!$B$4=\"base\",'Assumptions'!$I$52,'Assumptions'!$I$71))","Operating!I19":"=IF(Assumptions!$B$4=\"bear\",'Assumptions'!$I$34,IF(Assumptions!$B$4=\"base\",'Assumptions'!$I$53,'Assumptions'!$I$72))","Operating!I20":"=IF(Assumptions!$B$4=\"bear\",'Assumptions'!$I$35,IF(Assumptions!$B$4=\"base\",'Assumptions'!$I$54,'Assumptions'!$I$73))","Operating!I23":"='Operating'!$I$10*'Operating'!$I$11*'Operating'!$I$12","Operating!I24":"='Operating'!$I$10*'Operating'!$I$13","Operating!I25":"='Operating'!$I$23*'Operating'!$I$14","Operating!I26":"='Operating'!$I$23-'Operating'!$I$24-'Operating'!$I$25-'Operating'!$I$16","Operating!I27":"=MAX(0,'Operating'!$I$26)*'Operating'!$I$15","Operating!I28":"='Operating'!$I$26-'Operating'!$I$27","Operating!I29":"='Operating'!$I$28+'Operating'!$I$16-'Operating'!$I$17-'Operating'!$I$18-'Operating'!$I$19","Operating!I30":"='Operating'!$I$29*'Operating'!$B$5-'Operating'!$I$20+IF(7='Operating'!$B$7,'Operating'!$B$6,0)","Operating!I31":"='Operating'!$I$30/(1+'Operating'!$B$4)^7","Operating!I32":"='Operating'!$H$32+'Operating'!$I$30","Valuation!B5":"=SUM(Operating!C31:I31)","Valuation!B6":"='Assumptions'!$B$7","Valuation!B7":"='Assumptions'!$B$9","Valuation!B8":"='Assumptions'!$B$8","Valuation!B9":"=B5+B6+B7-B8","Valuation!B10":"='Assumptions'!$B$10","Valuation!B11":"=B9/B10","Valuation!B12":"=MIN('Assumptions'!$B$7,Operating!C32:I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E17":"=((((('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Sensitivities!F17":"=((((('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Sensitivities!G17":"=((((('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Sensitivities!H17":"=((((('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Sensitivities!I17":"=((((('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Sensitivities!C8":"=(SUM(C17:I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E18":"=((((('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Sensitivities!F18":"=((((('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Sensitivities!G18":"=((((('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Sensitivities!H18":"=((((('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Sensitivities!I18":"=((((('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Sensitivities!D8":"=(SUM(C18:I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19":"=((((('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Sensitivities!F19":"=((((('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Sensitivities!G19":"=((((('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Sensitivities!H19":"=((((('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Sensitivities!I19":"=((((('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Sensitivities!E8":"=(SUM(C19:I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E20":"=((((('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Sensitivities!F20":"=((((('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Sensitivities!G20":"=((((('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Sensitivities!H20":"=((((('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Sensitivities!I20":"=((((('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Sensitivities!C9":"=(SUM(C20:I20)+'Assumptions'!$B$7+'Assumptions'!$B$9-'Assumptions'!$B$8)/'Assumptions'!$B$10","Sensitivities!C21":"=((((('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t>
  </si>
  <si>
    <t xml:space="preserve">erating'!$B$5-'Operating'!$D$20+IF(2='Operating'!$B$7,'Operating'!$B$6,0))/(1+D7)^2","Sensitivities!E21":"=((((('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Sensitivities!F21":"=((((('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Sensitivities!G21":"=((((('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Sensitivities!H21":"=((((('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Sensitivities!I21":"=((((('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Sensitivities!D9":"=(SUM(C21:I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22":"=((((('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Sensitivities!F22":"=((((('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Sensitivities!G22":"=((((('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Sensitivities!H22":"=((((('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Sensitivities!I22":"=((((('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Sensitivities!E9":"=(SUM(C22:I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E23":"=((((('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Sensitivities!F23":"=((((('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Sensitivities!G23":"=((((('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Sensitivities!H23":"=((((('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Sensitivities!I23":"=((((('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Sensitivities!C10":"=(SUM(C23:I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E24":"=((((('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Sensitivities!F24":"=((((('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Sensitivities!G24":"=((((('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Sensitivities!H24":"=((((('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Sensitivities!I24":"=((((('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Sensitivities!D10":"=(SUM(C24:I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25":"=((((('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Sensitivities!F25":"=((((('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Sensitivities!G25":"=((((('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Sensitivities!H25":"=((((('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Sensitivities!I25":"=((((('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Sensitivities!E10":"=(SUM(C25:I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Analysis!B7":"=Historical!C80/1000000","Analysis!C7":"=Historical!C81/1000000","Analysis!D7":"=C7-B7","Analysis!B8":"=Historical!C84/1000000","Analysis!C8":"=Historical!C85/1000000","Analysis!D8":"=C8-B8","Analysis!B9":"=Historical!C86/1000000","Analysis!C9":"=Historical!C87/1000000","Analysis!D9":"=C9-B9","Analysis!B10":"=Historical!C88/1000000","Analysis!C10":"=Historical!C89/1000000","Analysis!D10":"=C10-B10","Analysis!B11":"=Historical!C90/1000000","Analysis!C11":"=Historical!C91/1000000","Analysis!D11":"=C11-B11","Analysis!B12":"=Historical!C92/1000000","Analysis!C12":"=Historical!C93/1000000","Analysis!D12":"=C12-B12","Analysis!B13":"=Historical!C94/1000000","Analysis!C13":"=Historical!C95/1000000","Analysis!D13":"=C13-B13","Analysis!B14":"=Historical!C96/1000000","Analysis!C14":"=Historical!C97/1000000","Analysis!D14":"=C14-B14","Analysis!B15":"=Historical!C98/1000000","Analysis!C15":"=Historical!C99/1000000","Analysis!D15":"=C15-B15","Analysis!B16":"=Historical!C100/1000000","Analysis!C16":"=Historical!C101/1000000","Analysis!D16":"=C16-B16","Analysis!B17":"=Historical!C104/1000000","Analysis!C17":"=Historical!C105/1000000","Analysis!D17":"=C17-B17","Analysis!B19":"=IF(B7&gt;0,B8/B7,\"N/A\")","Analysis!C19":"=IF(C7&gt;0,C8/C7,\"N/A\")","Analysis!B20":"=IF(B11&gt;0,B12/B11,\"N/A\")","Analysis!C20":"=IF(C11&gt;0,C12/C11,\"N/A\")","Analysis!B21":"=B12-B13-B14","Analysis!C21":"=C12-C13-C14","Analysis!B22":"=B17+B12+B15+B16","Analysis!C22":"=C17+C12+C15+C16","Analysis!B29":"=B11","Analysis!B30":"=C8-B8","Analysis!B31":"=(C9-C8)-(B9-B8)","Analysis!B32":"=B10-C10","Analysis!B33":"=C11","Analysis!B35":"=SUM(B29:B32)-B33","Analysis!B39":"=C17","Analysis!B40":"=C12","Analysis!B41":"=-C13-C14","Analysis!B42":"=C15+C13+C14","Analysis!B43":"=C16","Analysis!B44":"=C22","Analysis!B46":"=SUM(B39:B43)-B44"}}</t>
  </si>
</sst>
</file>

<file path=xl/styles.xml><?xml version="1.0" encoding="utf-8"?>
<styleSheet xmlns="http://schemas.openxmlformats.org/spreadsheetml/2006/main">
  <numFmts count="8">
    <numFmt numFmtId="164" formatCode="General"/>
    <numFmt numFmtId="165" formatCode="0.0000"/>
    <numFmt numFmtId="166" formatCode="#,##0.0,,\m"/>
    <numFmt numFmtId="167" formatCode="#,##0,,\m"/>
    <numFmt numFmtId="168" formatCode="#,##0.00;\(#,##0.00\);\–"/>
    <numFmt numFmtId="169" formatCode="0.0%"/>
    <numFmt numFmtId="170" formatCode="0"/>
    <numFmt numFmtId="171" formatCode="0.##"/>
  </numFmts>
  <fonts count="20">
    <font>
      <sz val="11"/>
      <color theme="1"/>
      <name val="Arial"/>
      <family val="2"/>
      <charset val="1"/>
    </font>
    <font>
      <sz val="10"/>
      <name val="Arial"/>
      <family val="0"/>
    </font>
    <font>
      <sz val="10"/>
      <name val="Arial"/>
      <family val="0"/>
    </font>
    <font>
      <sz val="10"/>
      <name val="Arial"/>
      <family val="0"/>
    </font>
    <font>
      <b val="true"/>
      <sz val="21"/>
      <color rgb="FFFFFFFF"/>
      <name val="Arial"/>
      <family val="2"/>
      <charset val="1"/>
    </font>
    <font>
      <b val="true"/>
      <sz val="11"/>
      <color rgb="FFFFFFFF"/>
      <name val="Arial"/>
      <family val="2"/>
      <charset val="1"/>
    </font>
    <font>
      <b val="true"/>
      <sz val="15"/>
      <color rgb="FF008000"/>
      <name val="Arial"/>
      <family val="2"/>
      <charset val="1"/>
    </font>
    <font>
      <sz val="11"/>
      <color rgb="FF243746"/>
      <name val="Arial"/>
      <family val="2"/>
      <charset val="1"/>
    </font>
    <font>
      <sz val="10"/>
      <color rgb="FF667085"/>
      <name val="Arial"/>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rial"/>
      <family val="2"/>
      <charset val="1"/>
    </font>
    <font>
      <b val="true"/>
      <sz val="11"/>
      <color theme="1"/>
      <name val="Arial"/>
      <family val="2"/>
      <charset val="1"/>
    </font>
    <font>
      <sz val="10"/>
      <name val="Arial"/>
      <family val="2"/>
    </font>
    <font>
      <sz val="11"/>
      <color rgb="FF202020"/>
      <name val="Arial"/>
      <family val="2"/>
      <charset val="1"/>
    </font>
    <font>
      <u val="single"/>
      <sz val="11"/>
      <color theme="10"/>
      <name val="Calibri"/>
      <family val="2"/>
      <charset val="1"/>
    </font>
    <font>
      <sz val="11"/>
      <color rgb="FF008000"/>
      <name val="Arial"/>
      <family val="2"/>
      <charset val="1"/>
    </font>
    <font>
      <b val="true"/>
      <sz val="11"/>
      <color rgb="FF202020"/>
      <name val="Arial"/>
      <family val="2"/>
      <charset val="1"/>
    </font>
    <font>
      <sz val="8"/>
      <color rgb="FF000000"/>
      <name val="Calibri"/>
      <family val="2"/>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true" applyAlignment="true" applyProtection="true">
      <alignment horizontal="general" vertical="top" textRotation="0" wrapText="false" indent="0" shrinkToFit="false"/>
      <protection locked="fals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8" fontId="12" fillId="4"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true" applyProtection="false">
      <alignment horizontal="general" vertical="center" textRotation="0" wrapText="false" indent="0" shrinkToFit="false"/>
      <protection locked="true" hidden="false"/>
    </xf>
    <xf numFmtId="170" fontId="13" fillId="0" borderId="1" xfId="0" applyFont="true" applyBorder="true" applyAlignment="true" applyProtection="false">
      <alignment horizontal="general" vertical="center" textRotation="0" wrapText="false" indent="0" shrinkToFit="false"/>
      <protection locked="true" hidden="false"/>
    </xf>
    <xf numFmtId="168"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center" textRotation="0" wrapText="false" indent="0" shrinkToFit="false"/>
      <protection locked="true" hidden="false"/>
    </xf>
    <xf numFmtId="169" fontId="17" fillId="0" borderId="0" xfId="0" applyFont="true" applyBorder="false" applyAlignment="true" applyProtection="false">
      <alignment horizontal="general" vertical="center" textRotation="0" wrapText="false" indent="0" shrinkToFit="false"/>
      <protection locked="true" hidden="false"/>
    </xf>
    <xf numFmtId="168" fontId="18" fillId="5" borderId="2"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28566F"/>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202020"/>
          <bgColor rgb="FF000000"/>
        </patternFill>
      </fill>
    </dxf>
    <dxf>
      <fill>
        <patternFill patternType="solid">
          <fgColor rgb="FF0000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C86"/>
      <rgbColor rgb="FFAEC5CE"/>
      <rgbColor rgb="FF878787"/>
      <rgbColor rgb="FF9999FF"/>
      <rgbColor rgb="FF993366"/>
      <rgbColor rgb="FFF6F9FB"/>
      <rgbColor rgb="FFE6F4EC"/>
      <rgbColor rgb="FF660066"/>
      <rgbColor rgb="FFFF8080"/>
      <rgbColor rgb="FF0066CC"/>
      <rgbColor rgb="FFD9D9D9"/>
      <rgbColor rgb="FF000080"/>
      <rgbColor rgb="FFFF00FF"/>
      <rgbColor rgb="FFFFFF00"/>
      <rgbColor rgb="FF00FFFF"/>
      <rgbColor rgb="FF800080"/>
      <rgbColor rgb="FF800000"/>
      <rgbColor rgb="FF287F8E"/>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176443"/>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Operating!$C$30:$I$30</c:f>
              <c:numCache>
                <c:formatCode>#,##0.00;\(#,##0.00\);\–</c:formatCode>
                <c:ptCount val="7"/>
                <c:pt idx="0">
                  <c:v>70228947.5923078</c:v>
                </c:pt>
                <c:pt idx="1">
                  <c:v>94448244.9</c:v>
                </c:pt>
                <c:pt idx="2">
                  <c:v>94448244.9</c:v>
                </c:pt>
                <c:pt idx="3">
                  <c:v>94448244.9</c:v>
                </c:pt>
                <c:pt idx="4">
                  <c:v>44448244.9</c:v>
                </c:pt>
                <c:pt idx="5">
                  <c:v>0</c:v>
                </c:pt>
                <c:pt idx="6">
                  <c:v>0</c:v>
                </c:pt>
              </c:numCache>
            </c:numRef>
          </c:val>
        </c:ser>
        <c:gapWidth val="150"/>
        <c:overlap val="0"/>
        <c:axId val="3651790"/>
        <c:axId val="75646403"/>
      </c:barChart>
      <c:catAx>
        <c:axId val="365179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5646403"/>
        <c:crosses val="autoZero"/>
        <c:auto val="1"/>
        <c:lblAlgn val="ctr"/>
        <c:lblOffset val="100"/>
        <c:noMultiLvlLbl val="0"/>
      </c:catAx>
      <c:valAx>
        <c:axId val="75646403"/>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651790"/>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Operating!$C$32:$I$32</c:f>
              <c:numCache>
                <c:formatCode>#,##0.00;\(#,##0.00\);\–</c:formatCode>
                <c:ptCount val="7"/>
                <c:pt idx="0">
                  <c:v>444226947.592308</c:v>
                </c:pt>
                <c:pt idx="1">
                  <c:v>538675192.492308</c:v>
                </c:pt>
                <c:pt idx="2">
                  <c:v>633123437.392308</c:v>
                </c:pt>
                <c:pt idx="3">
                  <c:v>727571682.292308</c:v>
                </c:pt>
                <c:pt idx="4">
                  <c:v>772019927.192308</c:v>
                </c:pt>
                <c:pt idx="5">
                  <c:v>772019927.192308</c:v>
                </c:pt>
                <c:pt idx="6">
                  <c:v>772019927.192308</c:v>
                </c:pt>
              </c:numCache>
            </c:numRef>
          </c:val>
          <c:smooth val="1"/>
        </c:ser>
        <c:hiLowLines>
          <c:spPr>
            <a:ln w="0">
              <a:noFill/>
            </a:ln>
          </c:spPr>
        </c:hiLowLines>
        <c:marker val="0"/>
        <c:axId val="19136987"/>
        <c:axId val="87149399"/>
      </c:lineChart>
      <c:catAx>
        <c:axId val="19136987"/>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149399"/>
        <c:crosses val="autoZero"/>
        <c:auto val="1"/>
        <c:lblAlgn val="ctr"/>
        <c:lblOffset val="100"/>
        <c:noMultiLvlLbl val="0"/>
      </c:catAx>
      <c:valAx>
        <c:axId val="87149399"/>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9136987"/>
        <c:crosses val="autoZero"/>
        <c:crossBetween val="between"/>
      </c:valAx>
      <c:spPr>
        <a:ln w="0">
          <a:noFill/>
        </a:ln>
      </c:spPr>
    </c:plotArea>
    <c:plotVisOnly val="1"/>
    <c:dispBlanksAs val="gap"/>
  </c:chart>
  <c:spPr>
    <a:solidFill>
      <a:srgbClr val="F6F9FB"/>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000" b="1" u="none" strike="noStrike">
                <a:solidFill>
                  <a:srgbClr val="000000"/>
                </a:solidFill>
                <a:uFillTx/>
                <a:latin typeface="Calibri"/>
              </a:rPr>
              <a:t>Profit bridge components (AUDm)</a:t>
            </a:r>
          </a:p>
        </c:rich>
      </c:tx>
      <c:overlay val="0"/>
      <c:spPr>
        <a:noFill/>
        <a:ln w="0">
          <a:noFill/>
        </a:ln>
      </c:spPr>
    </c:title>
    <c:autoTitleDeleted val="0"/>
    <c:plotArea>
      <c:barChart>
        <c:barDir val="bar"/>
        <c:grouping val="clustered"/>
        <c:varyColors val="0"/>
        <c:ser>
          <c:idx val="0"/>
          <c:order val="0"/>
          <c:spPr>
            <a:solidFill>
              <a:srgbClr val="087C86"/>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Analysis!$A$29:$A$33</c:f>
              <c:strCache>
                <c:ptCount val="5"/>
                <c:pt idx="0">
                  <c:v>Prior net profit</c:v>
                </c:pt>
                <c:pt idx="1">
                  <c:v>Gross profit change</c:v>
                </c:pt>
                <c:pt idx="2">
                  <c:v>Other pre-tax changes, net</c:v>
                </c:pt>
                <c:pt idx="3">
                  <c:v>Tax expense change</c:v>
                </c:pt>
                <c:pt idx="4">
                  <c:v>Current net profit</c:v>
                </c:pt>
              </c:strCache>
            </c:strRef>
          </c:cat>
          <c:val>
            <c:numRef>
              <c:f>Analysis!$B$29:$B$33</c:f>
              <c:numCache>
                <c:formatCode>#,##0.00;\(#,##0.00\);\–</c:formatCode>
                <c:ptCount val="5"/>
                <c:pt idx="0">
                  <c:v>52.948</c:v>
                </c:pt>
                <c:pt idx="1">
                  <c:v>59.636</c:v>
                </c:pt>
                <c:pt idx="2">
                  <c:v>-4.211</c:v>
                </c:pt>
                <c:pt idx="3">
                  <c:v>-4.468</c:v>
                </c:pt>
                <c:pt idx="4">
                  <c:v>103.905</c:v>
                </c:pt>
              </c:numCache>
            </c:numRef>
          </c:val>
        </c:ser>
        <c:gapWidth val="150"/>
        <c:overlap val="0"/>
        <c:axId val="5698551"/>
        <c:axId val="22099937"/>
      </c:barChart>
      <c:catAx>
        <c:axId val="56985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22099937"/>
        <c:crosses val="autoZero"/>
        <c:auto val="1"/>
        <c:lblAlgn val="ctr"/>
        <c:lblOffset val="100"/>
        <c:noMultiLvlLbl val="0"/>
      </c:catAx>
      <c:valAx>
        <c:axId val="22099937"/>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AUDm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5698551"/>
        <c:crosses val="autoZero"/>
        <c:crossBetween val="between"/>
        <c:majorUnit val="40"/>
      </c:valAx>
      <c:spPr>
        <a:ln w="0">
          <a:noFill/>
        </a:ln>
      </c:spPr>
    </c:plotArea>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000" b="1" u="none" strike="noStrike">
                <a:solidFill>
                  <a:srgbClr val="000000"/>
                </a:solidFill>
                <a:uFillTx/>
                <a:latin typeface="Calibri"/>
              </a:rPr>
              <a:t>Cash bridge components (AUDm)</a:t>
            </a:r>
          </a:p>
        </c:rich>
      </c:tx>
      <c:overlay val="0"/>
      <c:spPr>
        <a:noFill/>
        <a:ln w="0">
          <a:noFill/>
        </a:ln>
      </c:spPr>
    </c:title>
    <c:autoTitleDeleted val="0"/>
    <c:plotArea>
      <c:barChart>
        <c:barDir val="bar"/>
        <c:grouping val="clustered"/>
        <c:varyColors val="0"/>
        <c:ser>
          <c:idx val="0"/>
          <c:order val="0"/>
          <c:spPr>
            <a:solidFill>
              <a:srgbClr val="087C86"/>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Analysis!$A$39:$A$44</c:f>
              <c:strCache>
                <c:ptCount val="6"/>
                <c:pt idx="0">
                  <c:v>Opening cash</c:v>
                </c:pt>
                <c:pt idx="1">
                  <c:v>Operating cash flow</c:v>
                </c:pt>
                <c:pt idx="2">
                  <c:v>Equipment and mine development</c:v>
                </c:pt>
                <c:pt idx="3">
                  <c:v>Other investing cash flow, net</c:v>
                </c:pt>
                <c:pt idx="4">
                  <c:v>Financing cash flow</c:v>
                </c:pt>
                <c:pt idx="5">
                  <c:v>Closing cash</c:v>
                </c:pt>
              </c:strCache>
            </c:strRef>
          </c:cat>
          <c:val>
            <c:numRef>
              <c:f>Analysis!$B$39:$B$44</c:f>
              <c:numCache>
                <c:formatCode>#,##0.00;\(#,##0.00\);\–</c:formatCode>
                <c:ptCount val="6"/>
                <c:pt idx="0">
                  <c:v>293.606</c:v>
                </c:pt>
                <c:pt idx="1">
                  <c:v>126.515</c:v>
                </c:pt>
                <c:pt idx="2">
                  <c:v>-20.329</c:v>
                </c:pt>
                <c:pt idx="3">
                  <c:v>-23.608</c:v>
                </c:pt>
                <c:pt idx="4">
                  <c:v>-2.186</c:v>
                </c:pt>
                <c:pt idx="5">
                  <c:v>373.998</c:v>
                </c:pt>
              </c:numCache>
            </c:numRef>
          </c:val>
        </c:ser>
        <c:gapWidth val="150"/>
        <c:overlap val="0"/>
        <c:axId val="59364626"/>
        <c:axId val="74394127"/>
      </c:barChart>
      <c:catAx>
        <c:axId val="5936462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74394127"/>
        <c:crosses val="autoZero"/>
        <c:auto val="1"/>
        <c:lblAlgn val="ctr"/>
        <c:lblOffset val="100"/>
        <c:noMultiLvlLbl val="0"/>
      </c:catAx>
      <c:valAx>
        <c:axId val="74394127"/>
        <c:scaling>
          <c:orientation val="minMax"/>
        </c:scaling>
        <c:delete val="0"/>
        <c:axPos val="l"/>
        <c:majorGridlines>
          <c:spPr>
            <a:ln w="9360">
              <a:solidFill>
                <a:srgbClr val="878787"/>
              </a:solidFill>
              <a:round/>
            </a:ln>
          </c:spPr>
        </c:majorGridlines>
        <c:title>
          <c:tx>
            <c:rich>
              <a:bodyPr rot="0"/>
              <a:lstStyle/>
              <a:p>
                <a:pPr>
                  <a:defRPr sz="1300" b="0" u="none" strike="noStrike">
                    <a:uFillTx/>
                    <a:latin typeface="Arial"/>
                  </a:defRPr>
                </a:pPr>
                <a:r>
                  <a:rPr lang="en-US" sz="1000" b="1" u="none" strike="noStrike">
                    <a:solidFill>
                      <a:srgbClr val="000000"/>
                    </a:solidFill>
                    <a:uFillTx/>
                    <a:latin typeface="Calibri"/>
                  </a:rPr>
                  <a:t>AUDm</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800" b="0" u="none" strike="noStrike">
                <a:solidFill>
                  <a:srgbClr val="000000"/>
                </a:solidFill>
                <a:uFillTx/>
                <a:latin typeface="Calibri"/>
              </a:defRPr>
            </a:pPr>
          </a:p>
        </c:txPr>
        <c:crossAx val="59364626"/>
        <c:crosses val="autoZero"/>
        <c:crossBetween val="between"/>
        <c:majorUnit val="200"/>
      </c:valAx>
      <c:spPr>
        <a:ln w="0">
          <a:noFill/>
        </a:ln>
      </c:spPr>
    </c:plotArea>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1</xdr:col>
      <xdr:colOff>885600</xdr:colOff>
      <xdr:row>28</xdr:row>
      <xdr:rowOff>47160</xdr:rowOff>
    </xdr:to>
    <xdr:graphicFrame>
      <xdr:nvGraphicFramePr>
        <xdr:cNvPr id="1" name="Chart 1"/>
        <xdr:cNvGraphicFramePr/>
      </xdr:nvGraphicFramePr>
      <xdr:xfrm>
        <a:off x="0" y="4857840"/>
        <a:ext cx="3729600" cy="233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0</xdr:rowOff>
    </xdr:from>
    <xdr:to>
      <xdr:col>8</xdr:col>
      <xdr:colOff>428400</xdr:colOff>
      <xdr:row>28</xdr:row>
      <xdr:rowOff>47160</xdr:rowOff>
    </xdr:to>
    <xdr:graphicFrame>
      <xdr:nvGraphicFramePr>
        <xdr:cNvPr id="2" name="Chart 2"/>
        <xdr:cNvGraphicFramePr/>
      </xdr:nvGraphicFramePr>
      <xdr:xfrm>
        <a:off x="5123880" y="4857840"/>
        <a:ext cx="3803400" cy="233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27</xdr:row>
      <xdr:rowOff>0</xdr:rowOff>
    </xdr:from>
    <xdr:to>
      <xdr:col>8</xdr:col>
      <xdr:colOff>294840</xdr:colOff>
      <xdr:row>33</xdr:row>
      <xdr:rowOff>190080</xdr:rowOff>
    </xdr:to>
    <xdr:graphicFrame>
      <xdr:nvGraphicFramePr>
        <xdr:cNvPr id="3" name="Chart 1"/>
        <xdr:cNvGraphicFramePr/>
      </xdr:nvGraphicFramePr>
      <xdr:xfrm>
        <a:off x="7658280" y="8115480"/>
        <a:ext cx="2994840" cy="1904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37</xdr:row>
      <xdr:rowOff>0</xdr:rowOff>
    </xdr:from>
    <xdr:to>
      <xdr:col>8</xdr:col>
      <xdr:colOff>294840</xdr:colOff>
      <xdr:row>43</xdr:row>
      <xdr:rowOff>190080</xdr:rowOff>
    </xdr:to>
    <xdr:graphicFrame>
      <xdr:nvGraphicFramePr>
        <xdr:cNvPr id="4" name="Chart 2"/>
        <xdr:cNvGraphicFramePr/>
      </xdr:nvGraphicFramePr>
      <xdr:xfrm>
        <a:off x="7658280" y="10972800"/>
        <a:ext cx="2994840" cy="19047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metalsx.com.au/wp-content/uploads/2026/03/MLX-Annual-Report-31-December-2025.pdf" TargetMode="External"/><Relationship Id="rId2" Type="http://schemas.openxmlformats.org/officeDocument/2006/relationships/hyperlink" Target="https://www.metalsx.com.au/wp-content/uploads/2026/03/MLX-Annual-Report-31-December-2025.pdf" TargetMode="External"/><Relationship Id="rId3" Type="http://schemas.openxmlformats.org/officeDocument/2006/relationships/hyperlink" Target="https://www.metalsx.com.au/wp-content/uploads/2026/03/MLX-Annual-Report-31-December-2025.pdf" TargetMode="External"/><Relationship Id="rId4" Type="http://schemas.openxmlformats.org/officeDocument/2006/relationships/hyperlink" Target="https://www.metalsx.com.au/wp-content/uploads/2026/08/MLX-30-June-2026-Appendix-4D-and-Half-Year-Report.pdf" TargetMode="External"/><Relationship Id="rId5" Type="http://schemas.openxmlformats.org/officeDocument/2006/relationships/hyperlink" Target="https://www.metalsx.com.au/wp-content/uploads/2026/03/MLX-Annual-Report-31-December-2025.pdf" TargetMode="External"/><Relationship Id="rId6" Type="http://schemas.openxmlformats.org/officeDocument/2006/relationships/hyperlink" Target="https://www.metalsx.com.au/wp-content/uploads/2026/03/MLX-Annual-Report-31-December-2025.pdf" TargetMode="External"/><Relationship Id="rId7" Type="http://schemas.openxmlformats.org/officeDocument/2006/relationships/hyperlink" Target="https://www.metalsx.com.au/wp-content/uploads/2026/03/MLX-Annual-Report-31-December-2025.pdf" TargetMode="External"/><Relationship Id="rId8" Type="http://schemas.openxmlformats.org/officeDocument/2006/relationships/hyperlink" Target="https://www.metalsx.com.au/wp-content/uploads/2026/03/MLX-Annual-Report-31-December-2025.pdf" TargetMode="External"/><Relationship Id="rId9" Type="http://schemas.openxmlformats.org/officeDocument/2006/relationships/hyperlink" Target="https://www.metalsx.com.au/wp-content/uploads/2026/03/MLX-Annual-Report-31-December-2025.pdf" TargetMode="External"/><Relationship Id="rId10" Type="http://schemas.openxmlformats.org/officeDocument/2006/relationships/hyperlink" Target="https://www.metalsx.com.au/wp-content/uploads/2026/07/02_MLX_Quarterly-Report_30-June-2026_Final.pdf" TargetMode="External"/><Relationship Id="rId11" Type="http://schemas.openxmlformats.org/officeDocument/2006/relationships/hyperlink" Target="https://www.metalsx.com.au/wp-content/uploads/2026/07/02_MLX_Quarterly-Report_30-June-2026_Final.pdf" TargetMode="External"/><Relationship Id="rId12" Type="http://schemas.openxmlformats.org/officeDocument/2006/relationships/hyperlink" Target="https://www.metalsx.com.au/wp-content/uploads/2026/07/02_MLX_Quarterly-Report_30-June-2026_Final.pdf" TargetMode="External"/><Relationship Id="rId13" Type="http://schemas.openxmlformats.org/officeDocument/2006/relationships/hyperlink" Target="https://www.metalsx.com.au/wp-content/uploads/2026/07/02_MLX_Quarterly-Report_30-June-2026_Final.pdf" TargetMode="External"/><Relationship Id="rId14" Type="http://schemas.openxmlformats.org/officeDocument/2006/relationships/hyperlink" Target="https://www.metalsx.com.au/wp-content/uploads/2026/07/02_MLX_Quarterly-Report_30-June-2026_Final.pdf" TargetMode="External"/><Relationship Id="rId15" Type="http://schemas.openxmlformats.org/officeDocument/2006/relationships/hyperlink" Target="https://www.metalsx.com.au/wp-content/uploads/2026/07/02_MLX_Quarterly-Report_30-June-2026_Final.pdf" TargetMode="External"/><Relationship Id="rId16" Type="http://schemas.openxmlformats.org/officeDocument/2006/relationships/hyperlink" Target="https://www.metalsx.com.au/wp-content/uploads/2026/07/02_MLX_Quarterly-Report_30-June-2026_Final.pdf" TargetMode="External"/><Relationship Id="rId17" Type="http://schemas.openxmlformats.org/officeDocument/2006/relationships/hyperlink" Target="https://www.metalsx.com.au/wp-content/uploads/2026/07/02_MLX_Quarterly-Report_30-June-2026_Final.pdf" TargetMode="External"/><Relationship Id="rId18" Type="http://schemas.openxmlformats.org/officeDocument/2006/relationships/hyperlink" Target="https://www.metalsx.com.au/wp-content/uploads/2026/07/02_MLX_Quarterly-Report_30-June-2026_Final.pdf" TargetMode="External"/><Relationship Id="rId19" Type="http://schemas.openxmlformats.org/officeDocument/2006/relationships/hyperlink" Target="https://www.metalsx.com.au/wp-content/uploads/2026/07/02_MLX_Quarterly-Report_30-June-2026_Final.pdf" TargetMode="External"/><Relationship Id="rId20" Type="http://schemas.openxmlformats.org/officeDocument/2006/relationships/hyperlink" Target="https://www.metalsx.com.au/wp-content/uploads/2026/07/02_MLX_Quarterly-Report_30-June-2026_Final.pdf" TargetMode="External"/><Relationship Id="rId21" Type="http://schemas.openxmlformats.org/officeDocument/2006/relationships/hyperlink" Target="https://www.metalsx.com.au/wp-content/uploads/2026/07/02_MLX_Quarterly-Report_30-June-2026_Final.pdf" TargetMode="External"/><Relationship Id="rId22" Type="http://schemas.openxmlformats.org/officeDocument/2006/relationships/hyperlink" Target="https://www.metalsx.com.au/wp-content/uploads/2026/08/MLX-30-June-2026-Appendix-4D-and-Half-Year-Report.pdf" TargetMode="External"/><Relationship Id="rId23" Type="http://schemas.openxmlformats.org/officeDocument/2006/relationships/hyperlink" Target="https://www.metalsx.com.au/wp-content/uploads/2026/07/02_MLX_Quarterly-Report_30-June-2026_Final.pdf" TargetMode="External"/><Relationship Id="rId24" Type="http://schemas.openxmlformats.org/officeDocument/2006/relationships/hyperlink" Target="https://www.metalsx.com.au/wp-content/uploads/2026/03/MLX-Annual-Report-31-December-2025.pdf" TargetMode="External"/><Relationship Id="rId25" Type="http://schemas.openxmlformats.org/officeDocument/2006/relationships/hyperlink" Target="https://www.metalsx.com.au/wp-content/uploads/2026/03/MLX-Annual-Report-31-December-2025.pdf" TargetMode="External"/><Relationship Id="rId26" Type="http://schemas.openxmlformats.org/officeDocument/2006/relationships/hyperlink" Target="https://www.metalsx.com.au/wp-content/uploads/2026/03/MLX-Annual-Report-31-December-2025.pdf" TargetMode="External"/><Relationship Id="rId27" Type="http://schemas.openxmlformats.org/officeDocument/2006/relationships/hyperlink" Target="https://www.metalsx.com.au/wp-content/uploads/2026/03/MLX-Annual-Report-31-December-2025.pdf" TargetMode="External"/><Relationship Id="rId28" Type="http://schemas.openxmlformats.org/officeDocument/2006/relationships/hyperlink" Target="https://www.metalsx.com.au/wp-content/uploads/2026/03/MLX-Annual-Report-31-December-2025.pdf" TargetMode="External"/><Relationship Id="rId29" Type="http://schemas.openxmlformats.org/officeDocument/2006/relationships/hyperlink" Target="https://www.metalsx.com.au/wp-content/uploads/2026/03/MLX-Annual-Report-31-December-2025.pdf" TargetMode="External"/><Relationship Id="rId30" Type="http://schemas.openxmlformats.org/officeDocument/2006/relationships/hyperlink" Target="https://www.metalsx.com.au/wp-content/uploads/2026/03/MLX-Annual-Report-31-December-2025.pdf" TargetMode="External"/><Relationship Id="rId31" Type="http://schemas.openxmlformats.org/officeDocument/2006/relationships/hyperlink" Target="https://www.metalsx.com.au/wp-content/uploads/2026/03/MLX-Annual-Report-31-December-2025.pdf" TargetMode="External"/><Relationship Id="rId32" Type="http://schemas.openxmlformats.org/officeDocument/2006/relationships/hyperlink" Target="https://www.metalsx.com.au/wp-content/uploads/2026/03/MLX-Annual-Report-31-December-2025.pdf" TargetMode="External"/><Relationship Id="rId33" Type="http://schemas.openxmlformats.org/officeDocument/2006/relationships/hyperlink" Target="https://www.metalsx.com.au/wp-content/uploads/2026/03/MLX-Annual-Report-31-December-2025.pdf" TargetMode="External"/><Relationship Id="rId34" Type="http://schemas.openxmlformats.org/officeDocument/2006/relationships/hyperlink" Target="https://www.metalsx.com.au/wp-content/uploads/2026/03/MLX-Annual-Report-31-December-2025.pdf" TargetMode="External"/><Relationship Id="rId35" Type="http://schemas.openxmlformats.org/officeDocument/2006/relationships/hyperlink" Target="https://www.metalsx.com.au/wp-content/uploads/2026/03/MLX-Annual-Report-31-December-2025.pdf" TargetMode="External"/><Relationship Id="rId36" Type="http://schemas.openxmlformats.org/officeDocument/2006/relationships/hyperlink" Target="https://www.metalsx.com.au/wp-content/uploads/2026/03/MLX-Annual-Report-31-December-2025.pdf" TargetMode="External"/><Relationship Id="rId37" Type="http://schemas.openxmlformats.org/officeDocument/2006/relationships/hyperlink" Target="https://www.metalsx.com.au/wp-content/uploads/2026/03/MLX-Annual-Report-31-December-2025.pdf" TargetMode="External"/><Relationship Id="rId38" Type="http://schemas.openxmlformats.org/officeDocument/2006/relationships/hyperlink" Target="https://www.metalsx.com.au/wp-content/uploads/2026/03/MLX-Annual-Report-31-December-2025.pdf" TargetMode="External"/><Relationship Id="rId39" Type="http://schemas.openxmlformats.org/officeDocument/2006/relationships/hyperlink" Target="https://www.metalsx.com.au/wp-content/uploads/2026/03/MLX-Annual-Report-31-December-2025.pdf" TargetMode="External"/><Relationship Id="rId40" Type="http://schemas.openxmlformats.org/officeDocument/2006/relationships/hyperlink" Target="https://www.metalsx.com.au/wp-content/uploads/2026/03/MLX-Annual-Report-31-December-2025.pdf" TargetMode="External"/><Relationship Id="rId41" Type="http://schemas.openxmlformats.org/officeDocument/2006/relationships/hyperlink" Target="https://www.metalsx.com.au/wp-content/uploads/2026/03/MLX-Annual-Report-31-December-2025.pdf" TargetMode="External"/><Relationship Id="rId42" Type="http://schemas.openxmlformats.org/officeDocument/2006/relationships/hyperlink" Target="https://www.metalsx.com.au/wp-content/uploads/2026/03/MLX-Annual-Report-31-December-2025.pdf" TargetMode="External"/><Relationship Id="rId43" Type="http://schemas.openxmlformats.org/officeDocument/2006/relationships/hyperlink" Target="https://www.metalsx.com.au/wp-content/uploads/2026/03/MLX-Annual-Report-31-December-2025.pdf" TargetMode="External"/><Relationship Id="rId44" Type="http://schemas.openxmlformats.org/officeDocument/2006/relationships/hyperlink" Target="https://www.metalsx.com.au/wp-content/uploads/2026/03/MLX-Annual-Report-31-December-2025.pdf" TargetMode="External"/><Relationship Id="rId45" Type="http://schemas.openxmlformats.org/officeDocument/2006/relationships/hyperlink" Target="https://www.metalsx.com.au/wp-content/uploads/2026/03/MLX-Annual-Report-31-December-2025.pdf" TargetMode="External"/><Relationship Id="rId46" Type="http://schemas.openxmlformats.org/officeDocument/2006/relationships/hyperlink" Target="https://www.metalsx.com.au/wp-content/uploads/2026/03/MLX-Annual-Report-31-December-2025.pdf" TargetMode="External"/><Relationship Id="rId47" Type="http://schemas.openxmlformats.org/officeDocument/2006/relationships/hyperlink" Target="https://www.metalsx.com.au/wp-content/uploads/2026/03/MLX-Annual-Report-31-December-2025.pdf" TargetMode="External"/><Relationship Id="rId48" Type="http://schemas.openxmlformats.org/officeDocument/2006/relationships/hyperlink" Target="https://www.metalsx.com.au/wp-content/uploads/2026/03/MLX-Annual-Report-31-December-2025.pdf" TargetMode="External"/><Relationship Id="rId49" Type="http://schemas.openxmlformats.org/officeDocument/2006/relationships/hyperlink" Target="https://www.metalsx.com.au/wp-content/uploads/2026/03/MLX-Annual-Report-31-December-2025.pdf" TargetMode="External"/><Relationship Id="rId50" Type="http://schemas.openxmlformats.org/officeDocument/2006/relationships/hyperlink" Target="https://www.metalsx.com.au/wp-content/uploads/2026/03/MLX-Annual-Report-31-December-2025.pdf" TargetMode="External"/><Relationship Id="rId51" Type="http://schemas.openxmlformats.org/officeDocument/2006/relationships/hyperlink" Target="https://www.metalsx.com.au/wp-content/uploads/2026/03/MLX-Annual-Report-31-December-2025.pdf" TargetMode="External"/><Relationship Id="rId52" Type="http://schemas.openxmlformats.org/officeDocument/2006/relationships/hyperlink" Target="https://www.metalsx.com.au/wp-content/uploads/2026/03/MLX-Annual-Report-31-December-2025.pdf" TargetMode="External"/><Relationship Id="rId53" Type="http://schemas.openxmlformats.org/officeDocument/2006/relationships/hyperlink" Target="https://www.metalsx.com.au/wp-content/uploads/2026/03/MLX-Annual-Report-31-December-2025.pdf" TargetMode="External"/><Relationship Id="rId54" Type="http://schemas.openxmlformats.org/officeDocument/2006/relationships/hyperlink" Target="https://www.metalsx.com.au/wp-content/uploads/2026/03/MLX-Annual-Report-31-December-2025.pdf" TargetMode="External"/><Relationship Id="rId55" Type="http://schemas.openxmlformats.org/officeDocument/2006/relationships/hyperlink" Target="https://www.metalsx.com.au/wp-content/uploads/2026/03/MLX-Annual-Report-31-December-2025.pdf" TargetMode="External"/><Relationship Id="rId56" Type="http://schemas.openxmlformats.org/officeDocument/2006/relationships/hyperlink" Target="https://www.metalsx.com.au/wp-content/uploads/2026/03/MLX-Annual-Report-31-December-2025.pdf" TargetMode="External"/><Relationship Id="rId57" Type="http://schemas.openxmlformats.org/officeDocument/2006/relationships/hyperlink" Target="https://www.metalsx.com.au/wp-content/uploads/2026/03/MLX-Annual-Report-31-December-2025.pdf" TargetMode="External"/><Relationship Id="rId58" Type="http://schemas.openxmlformats.org/officeDocument/2006/relationships/hyperlink" Target="https://www.metalsx.com.au/wp-content/uploads/2026/03/MLX-Annual-Report-31-December-2025.pdf" TargetMode="External"/><Relationship Id="rId59" Type="http://schemas.openxmlformats.org/officeDocument/2006/relationships/hyperlink" Target="https://www.metalsx.com.au/wp-content/uploads/2026/03/MLX-Annual-Report-31-December-2025.pdf" TargetMode="External"/><Relationship Id="rId60" Type="http://schemas.openxmlformats.org/officeDocument/2006/relationships/hyperlink" Target="https://www.metalsx.com.au/wp-content/uploads/2026/03/MLX-Annual-Report-31-December-2025.pdf" TargetMode="External"/><Relationship Id="rId61" Type="http://schemas.openxmlformats.org/officeDocument/2006/relationships/hyperlink" Target="https://www.metalsx.com.au/wp-content/uploads/2026/03/MLX-Annual-Report-31-December-2025.pdf" TargetMode="External"/><Relationship Id="rId62" Type="http://schemas.openxmlformats.org/officeDocument/2006/relationships/hyperlink" Target="https://www.metalsx.com.au/wp-content/uploads/2026/03/MLX-Annual-Report-31-December-2025.pdf" TargetMode="External"/><Relationship Id="rId63" Type="http://schemas.openxmlformats.org/officeDocument/2006/relationships/hyperlink" Target="https://www.metalsx.com.au/wp-content/uploads/2026/03/MLX-Annual-Report-31-December-2025.pdf" TargetMode="External"/><Relationship Id="rId64" Type="http://schemas.openxmlformats.org/officeDocument/2006/relationships/hyperlink" Target="https://www.metalsx.com.au/wp-content/uploads/2026/03/MLX-Annual-Report-31-December-2025.pdf" TargetMode="External"/><Relationship Id="rId65" Type="http://schemas.openxmlformats.org/officeDocument/2006/relationships/hyperlink" Target="https://www.metalsx.com.au/wp-content/uploads/2026/03/MLX-Annual-Report-31-December-2025.pdf" TargetMode="External"/><Relationship Id="rId66" Type="http://schemas.openxmlformats.org/officeDocument/2006/relationships/hyperlink" Target="https://www.metalsx.com.au/wp-content/uploads/2026/03/MLX-Annual-Report-31-December-2025.pdf" TargetMode="External"/><Relationship Id="rId67" Type="http://schemas.openxmlformats.org/officeDocument/2006/relationships/hyperlink" Target="https://www.metalsx.com.au/wp-content/uploads/2026/03/MLX-Annual-Report-31-December-2025.pdf" TargetMode="External"/><Relationship Id="rId68" Type="http://schemas.openxmlformats.org/officeDocument/2006/relationships/hyperlink" Target="https://www.metalsx.com.au/wp-content/uploads/2026/03/MLX-Annual-Report-31-December-2025.pdf" TargetMode="External"/><Relationship Id="rId69" Type="http://schemas.openxmlformats.org/officeDocument/2006/relationships/hyperlink" Target="https://www.metalsx.com.au/wp-content/uploads/2026/03/MLX-Annual-Report-31-December-2025.pdf" TargetMode="External"/><Relationship Id="rId70" Type="http://schemas.openxmlformats.org/officeDocument/2006/relationships/hyperlink" Target="https://www.metalsx.com.au/wp-content/uploads/2026/03/MLX-Annual-Report-31-December-2025.pdf" TargetMode="External"/><Relationship Id="rId71" Type="http://schemas.openxmlformats.org/officeDocument/2006/relationships/hyperlink" Target="https://www.metalsx.com.au/wp-content/uploads/2026/03/MLX-Annual-Report-31-December-2025.pdf" TargetMode="External"/><Relationship Id="rId72" Type="http://schemas.openxmlformats.org/officeDocument/2006/relationships/hyperlink" Target="https://www.metalsx.com.au/wp-content/uploads/2026/03/MLX-Annual-Report-31-December-2025.pdf" TargetMode="External"/><Relationship Id="rId73" Type="http://schemas.openxmlformats.org/officeDocument/2006/relationships/hyperlink" Target="https://www.metalsx.com.au/wp-content/uploads/2026/03/MLX-Annual-Report-31-December-2025.pdf" TargetMode="External"/><Relationship Id="rId74" Type="http://schemas.openxmlformats.org/officeDocument/2006/relationships/hyperlink" Target="https://www.metalsx.com.au/wp-content/uploads/2026/08/MLX-30-June-2026-Appendix-4D-and-Half-Year-Report.pdf" TargetMode="External"/><Relationship Id="rId75" Type="http://schemas.openxmlformats.org/officeDocument/2006/relationships/hyperlink" Target="https://www.metalsx.com.au/wp-content/uploads/2026/08/MLX-30-June-2026-Appendix-4D-and-Half-Year-Report.pdf" TargetMode="External"/><Relationship Id="rId76" Type="http://schemas.openxmlformats.org/officeDocument/2006/relationships/hyperlink" Target="https://www.metalsx.com.au/wp-content/uploads/2026/08/MLX-30-June-2026-Appendix-4D-and-Half-Year-Report.pdf" TargetMode="External"/><Relationship Id="rId77" Type="http://schemas.openxmlformats.org/officeDocument/2006/relationships/hyperlink" Target="https://www.metalsx.com.au/wp-content/uploads/2026/08/MLX-30-June-2026-Appendix-4D-and-Half-Year-Report.pdf" TargetMode="External"/><Relationship Id="rId78" Type="http://schemas.openxmlformats.org/officeDocument/2006/relationships/hyperlink" Target="https://www.metalsx.com.au/wp-content/uploads/2026/08/MLX-30-June-2026-Appendix-4D-and-Half-Year-Report.pdf" TargetMode="External"/><Relationship Id="rId79" Type="http://schemas.openxmlformats.org/officeDocument/2006/relationships/hyperlink" Target="https://www.metalsx.com.au/wp-content/uploads/2026/08/MLX-30-June-2026-Appendix-4D-and-Half-Year-Report.pdf" TargetMode="External"/><Relationship Id="rId80" Type="http://schemas.openxmlformats.org/officeDocument/2006/relationships/hyperlink" Target="https://www.metalsx.com.au/wp-content/uploads/2026/08/MLX-30-June-2026-Appendix-4D-and-Half-Year-Report.pdf" TargetMode="External"/><Relationship Id="rId81" Type="http://schemas.openxmlformats.org/officeDocument/2006/relationships/hyperlink" Target="https://www.metalsx.com.au/wp-content/uploads/2026/08/MLX-30-June-2026-Appendix-4D-and-Half-Year-Report.pdf" TargetMode="External"/><Relationship Id="rId82" Type="http://schemas.openxmlformats.org/officeDocument/2006/relationships/hyperlink" Target="https://www.metalsx.com.au/wp-content/uploads/2026/08/MLX-30-June-2026-Appendix-4D-and-Half-Year-Report.pdf" TargetMode="External"/><Relationship Id="rId83" Type="http://schemas.openxmlformats.org/officeDocument/2006/relationships/hyperlink" Target="https://www.metalsx.com.au/wp-content/uploads/2026/08/MLX-30-June-2026-Appendix-4D-and-Half-Year-Report.pdf" TargetMode="External"/><Relationship Id="rId84" Type="http://schemas.openxmlformats.org/officeDocument/2006/relationships/hyperlink" Target="https://www.metalsx.com.au/wp-content/uploads/2026/08/MLX-30-June-2026-Appendix-4D-and-Half-Year-Report.pdf" TargetMode="External"/><Relationship Id="rId85" Type="http://schemas.openxmlformats.org/officeDocument/2006/relationships/hyperlink" Target="https://www.metalsx.com.au/wp-content/uploads/2026/08/MLX-30-June-2026-Appendix-4D-and-Half-Year-Report.pdf" TargetMode="External"/><Relationship Id="rId86" Type="http://schemas.openxmlformats.org/officeDocument/2006/relationships/hyperlink" Target="https://www.metalsx.com.au/wp-content/uploads/2026/08/MLX-30-June-2026-Appendix-4D-and-Half-Year-Report.pdf" TargetMode="External"/><Relationship Id="rId87" Type="http://schemas.openxmlformats.org/officeDocument/2006/relationships/hyperlink" Target="https://www.metalsx.com.au/wp-content/uploads/2026/08/MLX-30-June-2026-Appendix-4D-and-Half-Year-Report.pdf" TargetMode="External"/><Relationship Id="rId88" Type="http://schemas.openxmlformats.org/officeDocument/2006/relationships/hyperlink" Target="https://www.metalsx.com.au/wp-content/uploads/2026/08/MLX-30-June-2026-Appendix-4D-and-Half-Year-Report.pdf" TargetMode="External"/><Relationship Id="rId89" Type="http://schemas.openxmlformats.org/officeDocument/2006/relationships/hyperlink" Target="https://www.metalsx.com.au/wp-content/uploads/2026/08/MLX-30-June-2026-Appendix-4D-and-Half-Year-Report.pdf" TargetMode="External"/><Relationship Id="rId90" Type="http://schemas.openxmlformats.org/officeDocument/2006/relationships/hyperlink" Target="https://www.metalsx.com.au/wp-content/uploads/2026/08/MLX-30-June-2026-Appendix-4D-and-Half-Year-Report.pdf" TargetMode="External"/><Relationship Id="rId91" Type="http://schemas.openxmlformats.org/officeDocument/2006/relationships/hyperlink" Target="https://www.metalsx.com.au/wp-content/uploads/2026/08/MLX-30-June-2026-Appendix-4D-and-Half-Year-Report.pdf" TargetMode="External"/><Relationship Id="rId92" Type="http://schemas.openxmlformats.org/officeDocument/2006/relationships/hyperlink" Target="https://www.metalsx.com.au/wp-content/uploads/2026/08/MLX-30-June-2026-Appendix-4D-and-Half-Year-Report.pdf" TargetMode="External"/><Relationship Id="rId93" Type="http://schemas.openxmlformats.org/officeDocument/2006/relationships/hyperlink" Target="https://www.metalsx.com.au/wp-content/uploads/2026/08/MLX-30-June-2026-Appendix-4D-and-Half-Year-Report.pdf" TargetMode="External"/><Relationship Id="rId94" Type="http://schemas.openxmlformats.org/officeDocument/2006/relationships/hyperlink" Target="https://www.metalsx.com.au/wp-content/uploads/2026/08/MLX-30-June-2026-Appendix-4D-and-Half-Year-Report.pdf" TargetMode="External"/><Relationship Id="rId95" Type="http://schemas.openxmlformats.org/officeDocument/2006/relationships/hyperlink" Target="https://www.metalsx.com.au/wp-content/uploads/2026/08/MLX-30-June-2026-Appendix-4D-and-Half-Year-Report.pdf" TargetMode="External"/><Relationship Id="rId96" Type="http://schemas.openxmlformats.org/officeDocument/2006/relationships/hyperlink" Target="https://www.metalsx.com.au/wp-content/uploads/2026/08/MLX-30-June-2026-Appendix-4D-and-Half-Year-Report.pdf" TargetMode="External"/><Relationship Id="rId97" Type="http://schemas.openxmlformats.org/officeDocument/2006/relationships/hyperlink" Target="https://www.metalsx.com.au/wp-content/uploads/2026/08/MLX-30-June-2026-Appendix-4D-and-Half-Year-Report.pdf" TargetMode="External"/><Relationship Id="rId98" Type="http://schemas.openxmlformats.org/officeDocument/2006/relationships/hyperlink" Target="https://www.metalsx.com.au/wp-content/uploads/2026/08/MLX-30-June-2026-Appendix-4D-and-Half-Year-Report.pdf" TargetMode="External"/><Relationship Id="rId99" Type="http://schemas.openxmlformats.org/officeDocument/2006/relationships/hyperlink" Target="https://www.metalsx.com.au/wp-content/uploads/2026/08/MLX-30-June-2026-Appendix-4D-and-Half-Year-Report.pdf" TargetMode="External"/><Relationship Id="rId100" Type="http://schemas.openxmlformats.org/officeDocument/2006/relationships/hyperlink" Target="https://www.metalsx.com.au/wp-content/uploads/2026/08/MLX-30-June-2026-Appendix-4D-and-Half-Year-Report.pdf" TargetMode="External"/><Relationship Id="rId101" Type="http://schemas.openxmlformats.org/officeDocument/2006/relationships/hyperlink" Target="https://www.metalsx.com.au/wp-content/uploads/2026/08/MLX-30-June-2026-Appendix-4D-and-Half-Year-Report.pdf" TargetMode="External"/><Relationship Id="rId102" Type="http://schemas.openxmlformats.org/officeDocument/2006/relationships/hyperlink" Target="https://www.metalsx.com.au/wp-content/uploads/2026/08/MLX-30-June-2026-Appendix-4D-and-Half-Year-Report.pdf" TargetMode="External"/><Relationship Id="rId103" Type="http://schemas.openxmlformats.org/officeDocument/2006/relationships/hyperlink" Target="https://www.metalsx.com.au/wp-content/uploads/2026/08/MLX-30-June-2026-Appendix-4D-and-Half-Year-Report.pdf" TargetMode="External"/><Relationship Id="rId104" Type="http://schemas.openxmlformats.org/officeDocument/2006/relationships/hyperlink" Target="https://www.metalsx.com.au/wp-content/uploads/2026/08/MLX-30-June-2026-Appendix-4D-and-Half-Year-Report.pdf" TargetMode="External"/><Relationship Id="rId105" Type="http://schemas.openxmlformats.org/officeDocument/2006/relationships/hyperlink" Target="https://www.metalsx.com.au/wp-content/uploads/2026/08/MLX-30-June-2026-Appendix-4D-and-Half-Year-Report.pdf" TargetMode="External"/><Relationship Id="rId106" Type="http://schemas.openxmlformats.org/officeDocument/2006/relationships/hyperlink" Target="https://www.metalsx.com.au/wp-content/uploads/2026/08/MLX-30-June-2026-Appendix-4D-and-Half-Year-Report.pdf" TargetMode="External"/><Relationship Id="rId107" Type="http://schemas.openxmlformats.org/officeDocument/2006/relationships/hyperlink" Target="https://www.metalsx.com.au/wp-content/uploads/2026/08/MLX-30-June-2026-Appendix-4D-and-Half-Year-Report.pdf" TargetMode="External"/><Relationship Id="rId108" Type="http://schemas.openxmlformats.org/officeDocument/2006/relationships/hyperlink" Target="https://www.metalsx.com.au/wp-content/uploads/2026/08/MLX-30-June-2026-Appendix-4D-and-Half-Year-Report.pdf" TargetMode="External"/><Relationship Id="rId109" Type="http://schemas.openxmlformats.org/officeDocument/2006/relationships/hyperlink" Target="https://www.metalsx.com.au/wp-content/uploads/2026/08/MLX-30-June-2026-Appendix-4D-and-Half-Year-Report.pdf" TargetMode="External"/><Relationship Id="rId110" Type="http://schemas.openxmlformats.org/officeDocument/2006/relationships/hyperlink" Target="https://www.metalsx.com.au/wp-content/uploads/2026/08/MLX-30-June-2026-Appendix-4D-and-Half-Year-Report.pdf" TargetMode="External"/><Relationship Id="rId111" Type="http://schemas.openxmlformats.org/officeDocument/2006/relationships/hyperlink" Target="https://www.metalsx.com.au/wp-content/uploads/2024/04/MLX-Annual-Report-31-December-2023-Final.pdf" TargetMode="External"/><Relationship Id="rId112" Type="http://schemas.openxmlformats.org/officeDocument/2006/relationships/hyperlink" Target="https://www.metalsx.com.au/wp-content/uploads/2024/04/MLX-Annual-Report-31-December-2023-Final.pdf" TargetMode="External"/><Relationship Id="rId113" Type="http://schemas.openxmlformats.org/officeDocument/2006/relationships/hyperlink" Target="https://www.metalsx.com.au/wp-content/uploads/2024/04/MLX-Annual-Report-31-December-2023-Final.pdf" TargetMode="External"/><Relationship Id="rId114" Type="http://schemas.openxmlformats.org/officeDocument/2006/relationships/hyperlink" Target="https://www.metalsx.com.au/wp-content/uploads/2024/04/MLX-Annual-Report-31-December-2023-Final.pdf" TargetMode="External"/><Relationship Id="rId115" Type="http://schemas.openxmlformats.org/officeDocument/2006/relationships/hyperlink" Target="https://www.metalsx.com.au/wp-content/uploads/2024/04/MLX-Annual-Report-31-December-2023-Final.pdf" TargetMode="External"/><Relationship Id="rId116" Type="http://schemas.openxmlformats.org/officeDocument/2006/relationships/hyperlink" Target="https://www.metalsx.com.au/wp-content/uploads/2024/04/MLX-Annual-Report-31-December-2023-Final.pdf" TargetMode="External"/><Relationship Id="rId117" Type="http://schemas.openxmlformats.org/officeDocument/2006/relationships/hyperlink" Target="https://www.metalsx.com.au/wp-content/uploads/2024/04/MLX-Annual-Report-31-December-2023-Final.pdf" TargetMode="External"/><Relationship Id="rId118" Type="http://schemas.openxmlformats.org/officeDocument/2006/relationships/hyperlink" Target="https://www.metalsx.com.au/wp-content/uploads/2024/04/MLX-Annual-Report-31-December-2023-Final.pdf" TargetMode="External"/><Relationship Id="rId119" Type="http://schemas.openxmlformats.org/officeDocument/2006/relationships/hyperlink" Target="https://www.metalsx.com.au/wp-content/uploads/2024/04/MLX-Annual-Report-31-December-2023-Final.pdf" TargetMode="External"/><Relationship Id="rId120" Type="http://schemas.openxmlformats.org/officeDocument/2006/relationships/hyperlink" Target="https://www.metalsx.com.au/wp-content/uploads/2024/04/MLX-Annual-Report-31-December-2023-Final.pdf" TargetMode="External"/><Relationship Id="rId121" Type="http://schemas.openxmlformats.org/officeDocument/2006/relationships/hyperlink" Target="https://www.metalsx.com.au/wp-content/uploads/2024/04/MLX-Annual-Report-31-December-2023-Final.pdf" TargetMode="External"/><Relationship Id="rId122" Type="http://schemas.openxmlformats.org/officeDocument/2006/relationships/hyperlink" Target="https://www.metalsx.com.au/wp-content/uploads/2025/01/04_MLX_Quarterly-Report_31-December-2024.pdf" TargetMode="External"/><Relationship Id="rId123" Type="http://schemas.openxmlformats.org/officeDocument/2006/relationships/hyperlink" Target="https://www.metalsx.com.au/wp-content/uploads/2025/01/04_MLX_Quarterly-Report_31-December-2024.pdf" TargetMode="External"/><Relationship Id="rId124" Type="http://schemas.openxmlformats.org/officeDocument/2006/relationships/hyperlink" Target="https://www.metalsx.com.au/wp-content/uploads/2025/01/04_MLX_Quarterly-Report_31-December-2024.pdf" TargetMode="External"/><Relationship Id="rId125" Type="http://schemas.openxmlformats.org/officeDocument/2006/relationships/hyperlink" Target="https://www.metalsx.com.au/wp-content/uploads/2025/01/04_MLX_Quarterly-Report_31-December-2024.pdf" TargetMode="External"/><Relationship Id="rId126" Type="http://schemas.openxmlformats.org/officeDocument/2006/relationships/hyperlink" Target="https://www.metalsx.com.au/wp-content/uploads/2025/01/04_MLX_Quarterly-Report_31-December-2024.pdf" TargetMode="External"/><Relationship Id="rId127" Type="http://schemas.openxmlformats.org/officeDocument/2006/relationships/hyperlink" Target="https://www.metalsx.com.au/wp-content/uploads/2025/01/04_MLX_Quarterly-Report_31-December-2024.pdf" TargetMode="External"/><Relationship Id="rId128" Type="http://schemas.openxmlformats.org/officeDocument/2006/relationships/hyperlink" Target="https://www.metalsx.com.au/wp-content/uploads/2025/01/04_MLX_Quarterly-Report_31-December-2024.pdf" TargetMode="External"/><Relationship Id="rId129" Type="http://schemas.openxmlformats.org/officeDocument/2006/relationships/hyperlink" Target="https://www.metalsx.com.au/wp-content/uploads/2025/01/04_MLX_Quarterly-Report_31-December-2024.pdf" TargetMode="External"/><Relationship Id="rId130" Type="http://schemas.openxmlformats.org/officeDocument/2006/relationships/hyperlink" Target="https://www.metalsx.com.au/wp-content/uploads/2025/01/04_MLX_Quarterly-Report_31-December-2024.pdf" TargetMode="External"/><Relationship Id="rId131" Type="http://schemas.openxmlformats.org/officeDocument/2006/relationships/hyperlink" Target="https://www.metalsx.com.au/wp-content/uploads/2025/01/04_MLX_Quarterly-Report_31-December-2024.pdf" TargetMode="External"/><Relationship Id="rId132" Type="http://schemas.openxmlformats.org/officeDocument/2006/relationships/hyperlink" Target="https://www.metalsx.com.au/wp-content/uploads/2025/07/02_MLX_Quarterly-Report_30-June-2025.pdf" TargetMode="External"/><Relationship Id="rId133" Type="http://schemas.openxmlformats.org/officeDocument/2006/relationships/hyperlink" Target="https://www.metalsx.com.au/wp-content/uploads/2025/07/02_MLX_Quarterly-Report_30-June-2025.pdf" TargetMode="External"/><Relationship Id="rId134" Type="http://schemas.openxmlformats.org/officeDocument/2006/relationships/hyperlink" Target="https://www.metalsx.com.au/wp-content/uploads/2025/07/02_MLX_Quarterly-Report_30-June-2025.pdf" TargetMode="External"/><Relationship Id="rId135" Type="http://schemas.openxmlformats.org/officeDocument/2006/relationships/hyperlink" Target="https://www.metalsx.com.au/wp-content/uploads/2025/07/02_MLX_Quarterly-Report_30-June-2025.pdf" TargetMode="External"/><Relationship Id="rId136" Type="http://schemas.openxmlformats.org/officeDocument/2006/relationships/hyperlink" Target="https://www.metalsx.com.au/wp-content/uploads/2025/07/02_MLX_Quarterly-Report_30-June-2025.pdf" TargetMode="External"/><Relationship Id="rId137" Type="http://schemas.openxmlformats.org/officeDocument/2006/relationships/hyperlink" Target="https://www.metalsx.com.au/wp-content/uploads/2025/07/02_MLX_Quarterly-Report_30-June-2025.pdf" TargetMode="External"/><Relationship Id="rId138" Type="http://schemas.openxmlformats.org/officeDocument/2006/relationships/hyperlink" Target="https://www.metalsx.com.au/wp-content/uploads/2025/07/02_MLX_Quarterly-Report_30-June-2025.pdf" TargetMode="External"/><Relationship Id="rId139" Type="http://schemas.openxmlformats.org/officeDocument/2006/relationships/hyperlink" Target="https://www.metalsx.com.au/wp-content/uploads/2025/07/02_MLX_Quarterly-Report_30-June-2025.pdf" TargetMode="External"/><Relationship Id="rId140" Type="http://schemas.openxmlformats.org/officeDocument/2006/relationships/hyperlink" Target="https://www.metalsx.com.au/wp-content/uploads/2025/07/02_MLX_Quarterly-Report_30-June-2025.pdf" TargetMode="External"/><Relationship Id="rId141" Type="http://schemas.openxmlformats.org/officeDocument/2006/relationships/hyperlink" Target="https://www.metalsx.com.au/wp-content/uploads/2025/07/02_MLX_Quarterly-Report_30-June-2025.pdf" TargetMode="External"/><Relationship Id="rId142" Type="http://schemas.openxmlformats.org/officeDocument/2006/relationships/hyperlink" Target="https://www.metalsx.com.au/wp-content/uploads/2026/01/04_MLX_Quarterly-Report_31-December-2025.pdf" TargetMode="External"/><Relationship Id="rId143" Type="http://schemas.openxmlformats.org/officeDocument/2006/relationships/hyperlink" Target="https://www.metalsx.com.au/wp-content/uploads/2026/01/04_MLX_Quarterly-Report_31-December-2025.pdf" TargetMode="External"/><Relationship Id="rId144" Type="http://schemas.openxmlformats.org/officeDocument/2006/relationships/hyperlink" Target="https://www.metalsx.com.au/wp-content/uploads/2026/01/04_MLX_Quarterly-Report_31-December-2025.pdf" TargetMode="External"/><Relationship Id="rId145" Type="http://schemas.openxmlformats.org/officeDocument/2006/relationships/hyperlink" Target="https://www.metalsx.com.au/wp-content/uploads/2026/01/04_MLX_Quarterly-Report_31-December-2025.pdf" TargetMode="External"/><Relationship Id="rId146" Type="http://schemas.openxmlformats.org/officeDocument/2006/relationships/hyperlink" Target="https://www.metalsx.com.au/wp-content/uploads/2026/01/04_MLX_Quarterly-Report_31-December-2025.pdf" TargetMode="External"/><Relationship Id="rId147" Type="http://schemas.openxmlformats.org/officeDocument/2006/relationships/hyperlink" Target="https://www.metalsx.com.au/wp-content/uploads/2026/01/04_MLX_Quarterly-Report_31-December-2025.pdf" TargetMode="External"/><Relationship Id="rId148" Type="http://schemas.openxmlformats.org/officeDocument/2006/relationships/hyperlink" Target="https://www.metalsx.com.au/wp-content/uploads/2026/01/04_MLX_Quarterly-Report_31-December-2025.pdf" TargetMode="External"/><Relationship Id="rId149" Type="http://schemas.openxmlformats.org/officeDocument/2006/relationships/hyperlink" Target="https://www.metalsx.com.au/wp-content/uploads/2026/01/04_MLX_Quarterly-Report_31-December-2025.pdf" TargetMode="External"/><Relationship Id="rId150" Type="http://schemas.openxmlformats.org/officeDocument/2006/relationships/hyperlink" Target="https://www.metalsx.com.au/wp-content/uploads/2026/01/04_MLX_Quarterly-Report_31-December-2025.pdf" TargetMode="External"/><Relationship Id="rId151" Type="http://schemas.openxmlformats.org/officeDocument/2006/relationships/hyperlink" Target="https://www.metalsx.com.au/wp-content/uploads/2026/01/04_MLX_Quarterly-Report_31-December-2025.pdf" TargetMode="External"/><Relationship Id="rId152" Type="http://schemas.openxmlformats.org/officeDocument/2006/relationships/hyperlink" Target="https://www.metalsx.com.au/wp-content/uploads/2026/07/02_MLX_Quarterly-Report_30-June-2026_Final.pdf" TargetMode="External"/><Relationship Id="rId153" Type="http://schemas.openxmlformats.org/officeDocument/2006/relationships/hyperlink" Target="https://www.metalsx.com.au/wp-content/uploads/2026/07/02_MLX_Quarterly-Report_30-June-2026_Final.pdf" TargetMode="External"/><Relationship Id="rId154" Type="http://schemas.openxmlformats.org/officeDocument/2006/relationships/hyperlink" Target="https://www.metalsx.com.au/wp-content/uploads/2026/07/02_MLX_Quarterly-Report_30-June-2026_Final.pdf" TargetMode="External"/><Relationship Id="rId155" Type="http://schemas.openxmlformats.org/officeDocument/2006/relationships/hyperlink" Target="https://www.metalsx.com.au/wp-content/uploads/2026/07/02_MLX_Quarterly-Report_30-June-2026_Final.pdf" TargetMode="External"/><Relationship Id="rId156" Type="http://schemas.openxmlformats.org/officeDocument/2006/relationships/hyperlink" Target="https://www.metalsx.com.au/wp-content/uploads/2026/07/02_MLX_Quarterly-Report_30-June-2026_Final.pdf" TargetMode="External"/><Relationship Id="rId157" Type="http://schemas.openxmlformats.org/officeDocument/2006/relationships/hyperlink" Target="https://www.metalsx.com.au/wp-content/uploads/2026/07/02_MLX_Quarterly-Report_30-June-2026_Final.pdf" TargetMode="External"/><Relationship Id="rId158" Type="http://schemas.openxmlformats.org/officeDocument/2006/relationships/hyperlink" Target="https://www.metalsx.com.au/wp-content/uploads/2026/07/02_MLX_Quarterly-Report_30-June-2026_Final.pdf" TargetMode="External"/><Relationship Id="rId159"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20.71"/>
    <col collapsed="false" customWidth="true" hidden="false" outlineLevel="0" max="9" min="3" style="0" width="8.71"/>
  </cols>
  <sheetData>
    <row r="1" customFormat="false" ht="22.5" hidden="false" customHeight="true" outlineLevel="0" collapsed="false">
      <c r="A1" s="1" t="s">
        <v>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0.764748707756854</v>
      </c>
    </row>
    <row r="9" customFormat="false" ht="22.5" hidden="false" customHeight="true" outlineLevel="0" collapsed="false">
      <c r="A9" s="0" t="s">
        <v>4</v>
      </c>
      <c r="B9" s="4" t="n">
        <f aca="false">Valuation!$B$9</f>
        <v>677867548.000818</v>
      </c>
    </row>
    <row r="10" customFormat="false" ht="22.5" hidden="false" customHeight="true" outlineLevel="0" collapsed="false">
      <c r="A10" s="0" t="s">
        <v>5</v>
      </c>
      <c r="B10" s="4" t="n">
        <f aca="false">Valuation!$B$12</f>
        <v>373998000</v>
      </c>
    </row>
    <row r="12" customFormat="false" ht="22.5" hidden="false" customHeight="true" outlineLevel="0" collapsed="false">
      <c r="A12" s="5" t="s">
        <v>6</v>
      </c>
      <c r="B12" s="5"/>
      <c r="C12" s="5"/>
      <c r="D12" s="5"/>
      <c r="E12" s="5"/>
      <c r="F12" s="5"/>
      <c r="G12" s="5"/>
      <c r="H12" s="5"/>
    </row>
    <row r="13" customFormat="false" ht="9" hidden="false" customHeight="true" outlineLevel="0" collapsed="false">
      <c r="A13" s="5"/>
      <c r="B13" s="5"/>
      <c r="C13" s="5"/>
      <c r="D13" s="5"/>
      <c r="E13" s="5"/>
      <c r="F13" s="5"/>
      <c r="G13" s="5"/>
      <c r="H13" s="5"/>
    </row>
    <row r="14" customFormat="false" ht="9"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9" hidden="false" customHeight="true" outlineLevel="0" collapsed="false">
      <c r="A17" s="6"/>
      <c r="B17" s="6"/>
      <c r="C17" s="6"/>
      <c r="D17" s="6"/>
      <c r="E17" s="6"/>
      <c r="F17" s="6"/>
      <c r="G17" s="6"/>
      <c r="H17" s="6"/>
    </row>
    <row r="18" customFormat="false" ht="9" hidden="false" customHeight="true" outlineLevel="0" collapsed="false">
      <c r="A18" s="6"/>
      <c r="B18" s="6"/>
      <c r="C18" s="6"/>
      <c r="D18" s="6"/>
      <c r="E18" s="6"/>
      <c r="F18" s="6"/>
      <c r="G18" s="6"/>
      <c r="H18" s="6"/>
    </row>
    <row r="19" customFormat="false" ht="9" hidden="false" customHeight="true" outlineLevel="0" collapsed="false">
      <c r="A19" s="6"/>
      <c r="B19" s="6"/>
      <c r="C19" s="6"/>
      <c r="D19" s="6"/>
      <c r="E19" s="6"/>
      <c r="F19" s="6"/>
      <c r="G19" s="6"/>
      <c r="H19" s="6"/>
    </row>
  </sheetData>
  <mergeCells count="4">
    <mergeCell ref="A1:I2"/>
    <mergeCell ref="A4:H5"/>
    <mergeCell ref="A12:H14"/>
    <mergeCell ref="A16:H19"/>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8" t="s">
        <v>2</v>
      </c>
      <c r="B4" s="9" t="s">
        <v>9</v>
      </c>
      <c r="C4" s="6" t="s">
        <v>10</v>
      </c>
      <c r="D4" s="6"/>
      <c r="E4" s="6"/>
      <c r="F4" s="6"/>
      <c r="G4" s="6"/>
      <c r="H4" s="6"/>
    </row>
    <row r="7" customFormat="false" ht="22.5" hidden="false" customHeight="true" outlineLevel="0" collapsed="false">
      <c r="A7" s="7" t="s">
        <v>11</v>
      </c>
      <c r="B7" s="10" t="n">
        <v>373998000</v>
      </c>
      <c r="C7" s="11" t="s">
        <v>12</v>
      </c>
    </row>
    <row r="8" customFormat="false" ht="22.5" hidden="false" customHeight="true" outlineLevel="0" collapsed="false">
      <c r="A8" s="7" t="s">
        <v>13</v>
      </c>
      <c r="B8" s="10" t="n">
        <v>1100000</v>
      </c>
      <c r="C8" s="11" t="s">
        <v>12</v>
      </c>
    </row>
    <row r="9" customFormat="false" ht="22.5" hidden="false" customHeight="true" outlineLevel="0" collapsed="false">
      <c r="A9" s="7" t="s">
        <v>14</v>
      </c>
      <c r="B9" s="10" t="n">
        <v>0</v>
      </c>
      <c r="C9" s="11" t="s">
        <v>12</v>
      </c>
    </row>
    <row r="10" customFormat="false" ht="22.5" hidden="false" customHeight="true" outlineLevel="0" collapsed="false">
      <c r="A10" s="7" t="s">
        <v>15</v>
      </c>
      <c r="B10" s="10" t="n">
        <v>886392538</v>
      </c>
      <c r="C10" s="11" t="s">
        <v>16</v>
      </c>
    </row>
    <row r="11" customFormat="false" ht="22.5" hidden="false" customHeight="true" outlineLevel="0" collapsed="false">
      <c r="A11" s="7" t="s">
        <v>17</v>
      </c>
      <c r="B11" s="10" t="n">
        <v>2.15</v>
      </c>
      <c r="C11" s="11" t="s">
        <v>18</v>
      </c>
    </row>
    <row r="12" customFormat="false" ht="22.5" hidden="false" customHeight="true" outlineLevel="0" collapsed="false">
      <c r="A12" s="7" t="s">
        <v>19</v>
      </c>
      <c r="B12" s="9" t="s">
        <v>20</v>
      </c>
      <c r="C12" s="11" t="s">
        <v>21</v>
      </c>
    </row>
    <row r="13" customFormat="false" ht="22.5" hidden="false" customHeight="true" outlineLevel="0" collapsed="false">
      <c r="A13" s="7" t="s">
        <v>22</v>
      </c>
      <c r="B13" s="9" t="s">
        <v>23</v>
      </c>
      <c r="C13" s="11" t="s">
        <v>21</v>
      </c>
    </row>
    <row r="15" customFormat="false" ht="22.5" hidden="false" customHeight="true" outlineLevel="0" collapsed="false">
      <c r="A15" s="6" t="s">
        <v>24</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25</v>
      </c>
      <c r="B19" s="2"/>
      <c r="C19" s="2"/>
      <c r="D19" s="2"/>
      <c r="E19" s="2"/>
      <c r="F19" s="2"/>
      <c r="G19" s="2"/>
      <c r="H19" s="2"/>
      <c r="I19" s="2"/>
    </row>
    <row r="20" customFormat="false" ht="22.5" hidden="false" customHeight="true" outlineLevel="0" collapsed="false">
      <c r="A20" s="7" t="s">
        <v>26</v>
      </c>
      <c r="B20" s="12" t="n">
        <v>0.12</v>
      </c>
    </row>
    <row r="21" customFormat="false" ht="22.5" hidden="false" customHeight="true" outlineLevel="0" collapsed="false">
      <c r="A21" s="7" t="s">
        <v>27</v>
      </c>
      <c r="B21" s="12" t="n">
        <v>0.5</v>
      </c>
    </row>
    <row r="22" customFormat="false" ht="22.5" hidden="false" customHeight="true" outlineLevel="0" collapsed="false">
      <c r="A22" s="7" t="s">
        <v>28</v>
      </c>
      <c r="B22" s="10" t="n">
        <v>0</v>
      </c>
    </row>
    <row r="23" customFormat="false" ht="22.5" hidden="false" customHeight="true" outlineLevel="0" collapsed="false">
      <c r="A23" s="7" t="s">
        <v>29</v>
      </c>
      <c r="B23" s="0" t="n">
        <v>3</v>
      </c>
    </row>
    <row r="24" customFormat="false" ht="22.5" hidden="false" customHeight="true" outlineLevel="0" collapsed="false">
      <c r="C24" s="13" t="n">
        <v>2027</v>
      </c>
      <c r="D24" s="13" t="n">
        <v>2028</v>
      </c>
      <c r="E24" s="13" t="n">
        <v>2029</v>
      </c>
      <c r="F24" s="13" t="n">
        <v>2030</v>
      </c>
      <c r="G24" s="13" t="n">
        <v>2031</v>
      </c>
      <c r="H24" s="13" t="n">
        <v>2032</v>
      </c>
      <c r="I24" s="13" t="n">
        <v>2033</v>
      </c>
    </row>
    <row r="25" customFormat="false" ht="22.5" hidden="false" customHeight="true" outlineLevel="0" collapsed="false">
      <c r="A25" s="7" t="s">
        <v>30</v>
      </c>
      <c r="B25" s="11" t="s">
        <v>31</v>
      </c>
      <c r="C25" s="10" t="n">
        <v>8986.18846153846</v>
      </c>
      <c r="D25" s="10" t="n">
        <v>10158.3</v>
      </c>
      <c r="E25" s="10" t="n">
        <v>10158.3</v>
      </c>
      <c r="F25" s="11" t="n">
        <v>0</v>
      </c>
      <c r="G25" s="11" t="n">
        <v>0</v>
      </c>
      <c r="H25" s="11" t="n">
        <v>0</v>
      </c>
      <c r="I25" s="11" t="n">
        <v>0</v>
      </c>
    </row>
    <row r="26" customFormat="false" ht="22.5" hidden="false" customHeight="true" outlineLevel="0" collapsed="false">
      <c r="A26" s="7" t="s">
        <v>32</v>
      </c>
      <c r="B26" s="11" t="s">
        <v>33</v>
      </c>
      <c r="C26" s="10" t="n">
        <v>51008</v>
      </c>
      <c r="D26" s="10" t="n">
        <v>51008</v>
      </c>
      <c r="E26" s="10" t="n">
        <v>51008</v>
      </c>
      <c r="F26" s="11" t="n">
        <v>0</v>
      </c>
      <c r="G26" s="11" t="n">
        <v>0</v>
      </c>
      <c r="H26" s="11" t="n">
        <v>0</v>
      </c>
      <c r="I26" s="11" t="n">
        <v>0</v>
      </c>
    </row>
    <row r="27" customFormat="false" ht="22.5" hidden="false" customHeight="true" outlineLevel="0" collapsed="false">
      <c r="A27" s="7" t="s">
        <v>34</v>
      </c>
      <c r="B27" s="11" t="s">
        <v>35</v>
      </c>
      <c r="C27" s="10" t="n">
        <v>1</v>
      </c>
      <c r="D27" s="10" t="n">
        <v>1</v>
      </c>
      <c r="E27" s="10" t="n">
        <v>1</v>
      </c>
      <c r="F27" s="11" t="n">
        <v>0</v>
      </c>
      <c r="G27" s="11" t="n">
        <v>0</v>
      </c>
      <c r="H27" s="11" t="n">
        <v>0</v>
      </c>
      <c r="I27" s="11" t="n">
        <v>0</v>
      </c>
    </row>
    <row r="28" customFormat="false" ht="22.5" hidden="false" customHeight="true" outlineLevel="0" collapsed="false">
      <c r="A28" s="7" t="s">
        <v>36</v>
      </c>
      <c r="B28" s="11" t="s">
        <v>33</v>
      </c>
      <c r="C28" s="10" t="n">
        <v>34118.5565217391</v>
      </c>
      <c r="D28" s="10" t="n">
        <v>30181.8</v>
      </c>
      <c r="E28" s="10" t="n">
        <v>30181.8</v>
      </c>
      <c r="F28" s="11" t="n">
        <v>0</v>
      </c>
      <c r="G28" s="11" t="n">
        <v>0</v>
      </c>
      <c r="H28" s="11" t="n">
        <v>0</v>
      </c>
      <c r="I28" s="11" t="n">
        <v>0</v>
      </c>
    </row>
    <row r="29" customFormat="false" ht="22.5" hidden="false" customHeight="true" outlineLevel="0" collapsed="false">
      <c r="A29" s="7" t="s">
        <v>37</v>
      </c>
      <c r="B29" s="11" t="s">
        <v>38</v>
      </c>
      <c r="C29" s="12" t="n">
        <v>0</v>
      </c>
      <c r="D29" s="12" t="n">
        <v>0</v>
      </c>
      <c r="E29" s="12" t="n">
        <v>0</v>
      </c>
      <c r="F29" s="11" t="n">
        <v>0</v>
      </c>
      <c r="G29" s="11" t="n">
        <v>0</v>
      </c>
      <c r="H29" s="11" t="n">
        <v>0</v>
      </c>
      <c r="I29" s="11" t="n">
        <v>0</v>
      </c>
    </row>
    <row r="30" customFormat="false" ht="22.5" hidden="false" customHeight="true" outlineLevel="0" collapsed="false">
      <c r="A30" s="7" t="s">
        <v>39</v>
      </c>
      <c r="B30" s="11" t="s">
        <v>38</v>
      </c>
      <c r="C30" s="12" t="n">
        <v>0.3</v>
      </c>
      <c r="D30" s="12" t="n">
        <v>0.3</v>
      </c>
      <c r="E30" s="12" t="n">
        <v>0.3</v>
      </c>
      <c r="F30" s="11" t="n">
        <v>0</v>
      </c>
      <c r="G30" s="11" t="n">
        <v>0</v>
      </c>
      <c r="H30" s="11" t="n">
        <v>0</v>
      </c>
      <c r="I30" s="11" t="n">
        <v>0</v>
      </c>
    </row>
    <row r="31" customFormat="false" ht="22.5" hidden="false" customHeight="true" outlineLevel="0" collapsed="false">
      <c r="A31" s="7" t="s">
        <v>40</v>
      </c>
      <c r="B31" s="11" t="s">
        <v>12</v>
      </c>
      <c r="C31" s="10" t="n">
        <v>0</v>
      </c>
      <c r="D31" s="10" t="n">
        <v>0</v>
      </c>
      <c r="E31" s="10" t="n">
        <v>0</v>
      </c>
      <c r="F31" s="11" t="n">
        <v>0</v>
      </c>
      <c r="G31" s="11" t="n">
        <v>0</v>
      </c>
      <c r="H31" s="11" t="n">
        <v>0</v>
      </c>
      <c r="I31" s="11" t="n">
        <v>0</v>
      </c>
    </row>
    <row r="32" customFormat="false" ht="22.5" hidden="false" customHeight="true" outlineLevel="0" collapsed="false">
      <c r="A32" s="7" t="s">
        <v>41</v>
      </c>
      <c r="B32" s="11" t="s">
        <v>12</v>
      </c>
      <c r="C32" s="10" t="n">
        <v>93600000</v>
      </c>
      <c r="D32" s="10" t="n">
        <v>93600000</v>
      </c>
      <c r="E32" s="10" t="n">
        <v>93600000</v>
      </c>
      <c r="F32" s="11" t="n">
        <v>0</v>
      </c>
      <c r="G32" s="11" t="n">
        <v>0</v>
      </c>
      <c r="H32" s="11" t="n">
        <v>0</v>
      </c>
      <c r="I32" s="11" t="n">
        <v>0</v>
      </c>
    </row>
    <row r="33" customFormat="false" ht="22.5" hidden="false" customHeight="true" outlineLevel="0" collapsed="false">
      <c r="A33" s="7" t="s">
        <v>42</v>
      </c>
      <c r="B33" s="11" t="s">
        <v>12</v>
      </c>
      <c r="C33" s="10" t="n">
        <v>0</v>
      </c>
      <c r="D33" s="10" t="n">
        <v>0</v>
      </c>
      <c r="E33" s="10" t="n">
        <v>0</v>
      </c>
      <c r="F33" s="11" t="n">
        <v>0</v>
      </c>
      <c r="G33" s="11" t="n">
        <v>0</v>
      </c>
      <c r="H33" s="11" t="n">
        <v>0</v>
      </c>
      <c r="I33" s="11" t="n">
        <v>0</v>
      </c>
    </row>
    <row r="34" customFormat="false" ht="22.5" hidden="false" customHeight="true" outlineLevel="0" collapsed="false">
      <c r="A34" s="7" t="s">
        <v>43</v>
      </c>
      <c r="B34" s="11" t="s">
        <v>12</v>
      </c>
      <c r="C34" s="10" t="n">
        <v>0</v>
      </c>
      <c r="D34" s="10" t="n">
        <v>0</v>
      </c>
      <c r="E34" s="10" t="n">
        <v>100000000</v>
      </c>
      <c r="F34" s="11" t="n">
        <v>0</v>
      </c>
      <c r="G34" s="11" t="n">
        <v>0</v>
      </c>
      <c r="H34" s="11" t="n">
        <v>0</v>
      </c>
      <c r="I34" s="11" t="n">
        <v>0</v>
      </c>
    </row>
    <row r="35" customFormat="false" ht="22.5" hidden="false" customHeight="true" outlineLevel="0" collapsed="false">
      <c r="A35" s="7" t="s">
        <v>44</v>
      </c>
      <c r="B35" s="11" t="s">
        <v>12</v>
      </c>
      <c r="C35" s="10" t="n">
        <v>2240000</v>
      </c>
      <c r="D35" s="10" t="n">
        <v>2240000</v>
      </c>
      <c r="E35" s="10" t="n">
        <v>2240000</v>
      </c>
      <c r="F35" s="11" t="n">
        <v>0</v>
      </c>
      <c r="G35" s="11" t="n">
        <v>0</v>
      </c>
      <c r="H35" s="11" t="n">
        <v>0</v>
      </c>
      <c r="I35" s="11" t="n">
        <v>0</v>
      </c>
    </row>
    <row r="38" customFormat="false" ht="22.5" hidden="false" customHeight="true" outlineLevel="0" collapsed="false">
      <c r="A38" s="2" t="s">
        <v>45</v>
      </c>
      <c r="B38" s="2"/>
      <c r="C38" s="2"/>
      <c r="D38" s="2"/>
      <c r="E38" s="2"/>
      <c r="F38" s="2"/>
      <c r="G38" s="2"/>
      <c r="H38" s="2"/>
      <c r="I38" s="2"/>
    </row>
    <row r="39" customFormat="false" ht="22.5" hidden="false" customHeight="true" outlineLevel="0" collapsed="false">
      <c r="A39" s="7" t="s">
        <v>26</v>
      </c>
      <c r="B39" s="12" t="n">
        <v>0.1</v>
      </c>
    </row>
    <row r="40" customFormat="false" ht="22.5" hidden="false" customHeight="true" outlineLevel="0" collapsed="false">
      <c r="A40" s="7" t="s">
        <v>27</v>
      </c>
      <c r="B40" s="12" t="n">
        <v>0.5</v>
      </c>
    </row>
    <row r="41" customFormat="false" ht="22.5" hidden="false" customHeight="true" outlineLevel="0" collapsed="false">
      <c r="A41" s="7" t="s">
        <v>28</v>
      </c>
      <c r="B41" s="10" t="n">
        <v>0</v>
      </c>
    </row>
    <row r="42" customFormat="false" ht="22.5" hidden="false" customHeight="true" outlineLevel="0" collapsed="false">
      <c r="A42" s="7" t="s">
        <v>29</v>
      </c>
      <c r="B42" s="0" t="n">
        <v>5</v>
      </c>
    </row>
    <row r="43" customFormat="false" ht="22.5" hidden="false" customHeight="true" outlineLevel="0" collapsed="false">
      <c r="C43" s="13" t="n">
        <v>2027</v>
      </c>
      <c r="D43" s="13" t="n">
        <v>2028</v>
      </c>
      <c r="E43" s="13" t="n">
        <v>2029</v>
      </c>
      <c r="F43" s="13" t="n">
        <v>2030</v>
      </c>
      <c r="G43" s="13" t="n">
        <v>2031</v>
      </c>
      <c r="H43" s="13" t="n">
        <v>2032</v>
      </c>
      <c r="I43" s="13" t="n">
        <v>2033</v>
      </c>
    </row>
    <row r="44" customFormat="false" ht="22.5" hidden="false" customHeight="true" outlineLevel="0" collapsed="false">
      <c r="A44" s="7" t="s">
        <v>30</v>
      </c>
      <c r="B44" s="11" t="s">
        <v>31</v>
      </c>
      <c r="C44" s="10" t="n">
        <v>10201.7115384615</v>
      </c>
      <c r="D44" s="10" t="n">
        <v>11287</v>
      </c>
      <c r="E44" s="10" t="n">
        <v>11287</v>
      </c>
      <c r="F44" s="10" t="n">
        <v>11287</v>
      </c>
      <c r="G44" s="10" t="n">
        <v>11287</v>
      </c>
      <c r="H44" s="11" t="n">
        <v>0</v>
      </c>
      <c r="I44" s="11" t="n">
        <v>0</v>
      </c>
    </row>
    <row r="45" customFormat="false" ht="22.5" hidden="false" customHeight="true" outlineLevel="0" collapsed="false">
      <c r="A45" s="7" t="s">
        <v>32</v>
      </c>
      <c r="B45" s="11" t="s">
        <v>33</v>
      </c>
      <c r="C45" s="10" t="n">
        <v>63760</v>
      </c>
      <c r="D45" s="10" t="n">
        <v>63760</v>
      </c>
      <c r="E45" s="10" t="n">
        <v>63760</v>
      </c>
      <c r="F45" s="10" t="n">
        <v>63760</v>
      </c>
      <c r="G45" s="10" t="n">
        <v>63760</v>
      </c>
      <c r="H45" s="11" t="n">
        <v>0</v>
      </c>
      <c r="I45" s="11" t="n">
        <v>0</v>
      </c>
    </row>
    <row r="46" customFormat="false" ht="22.5" hidden="false" customHeight="true" outlineLevel="0" collapsed="false">
      <c r="A46" s="7" t="s">
        <v>34</v>
      </c>
      <c r="B46" s="11" t="s">
        <v>35</v>
      </c>
      <c r="C46" s="10" t="n">
        <v>1</v>
      </c>
      <c r="D46" s="10" t="n">
        <v>1</v>
      </c>
      <c r="E46" s="10" t="n">
        <v>1</v>
      </c>
      <c r="F46" s="10" t="n">
        <v>1</v>
      </c>
      <c r="G46" s="10" t="n">
        <v>1</v>
      </c>
      <c r="H46" s="11" t="n">
        <v>0</v>
      </c>
      <c r="I46" s="11" t="n">
        <v>0</v>
      </c>
    </row>
    <row r="47" customFormat="false" ht="22.5" hidden="false" customHeight="true" outlineLevel="0" collapsed="false">
      <c r="A47" s="7" t="s">
        <v>36</v>
      </c>
      <c r="B47" s="11" t="s">
        <v>33</v>
      </c>
      <c r="C47" s="10" t="n">
        <v>30356.9361702128</v>
      </c>
      <c r="D47" s="10" t="n">
        <v>27438</v>
      </c>
      <c r="E47" s="10" t="n">
        <v>27438</v>
      </c>
      <c r="F47" s="10" t="n">
        <v>27438</v>
      </c>
      <c r="G47" s="10" t="n">
        <v>27438</v>
      </c>
      <c r="H47" s="11" t="n">
        <v>0</v>
      </c>
      <c r="I47" s="11" t="n">
        <v>0</v>
      </c>
    </row>
    <row r="48" customFormat="false" ht="22.5" hidden="false" customHeight="true" outlineLevel="0" collapsed="false">
      <c r="A48" s="7" t="s">
        <v>37</v>
      </c>
      <c r="B48" s="11" t="s">
        <v>38</v>
      </c>
      <c r="C48" s="12" t="n">
        <v>0</v>
      </c>
      <c r="D48" s="12" t="n">
        <v>0</v>
      </c>
      <c r="E48" s="12" t="n">
        <v>0</v>
      </c>
      <c r="F48" s="12" t="n">
        <v>0</v>
      </c>
      <c r="G48" s="12" t="n">
        <v>0</v>
      </c>
      <c r="H48" s="11" t="n">
        <v>0</v>
      </c>
      <c r="I48" s="11" t="n">
        <v>0</v>
      </c>
    </row>
    <row r="49" customFormat="false" ht="22.5" hidden="false" customHeight="true" outlineLevel="0" collapsed="false">
      <c r="A49" s="7" t="s">
        <v>39</v>
      </c>
      <c r="B49" s="11" t="s">
        <v>38</v>
      </c>
      <c r="C49" s="12" t="n">
        <v>0.3</v>
      </c>
      <c r="D49" s="12" t="n">
        <v>0.3</v>
      </c>
      <c r="E49" s="12" t="n">
        <v>0.3</v>
      </c>
      <c r="F49" s="12" t="n">
        <v>0.3</v>
      </c>
      <c r="G49" s="12" t="n">
        <v>0.3</v>
      </c>
      <c r="H49" s="11" t="n">
        <v>0</v>
      </c>
      <c r="I49" s="11" t="n">
        <v>0</v>
      </c>
    </row>
    <row r="50" customFormat="false" ht="22.5" hidden="false" customHeight="true" outlineLevel="0" collapsed="false">
      <c r="A50" s="7" t="s">
        <v>40</v>
      </c>
      <c r="B50" s="11" t="s">
        <v>12</v>
      </c>
      <c r="C50" s="10" t="n">
        <v>0</v>
      </c>
      <c r="D50" s="10" t="n">
        <v>0</v>
      </c>
      <c r="E50" s="10" t="n">
        <v>0</v>
      </c>
      <c r="F50" s="10" t="n">
        <v>0</v>
      </c>
      <c r="G50" s="10" t="n">
        <v>0</v>
      </c>
      <c r="H50" s="11" t="n">
        <v>0</v>
      </c>
      <c r="I50" s="11" t="n">
        <v>0</v>
      </c>
    </row>
    <row r="51" customFormat="false" ht="22.5" hidden="false" customHeight="true" outlineLevel="0" collapsed="false">
      <c r="A51" s="7" t="s">
        <v>41</v>
      </c>
      <c r="B51" s="11" t="s">
        <v>12</v>
      </c>
      <c r="C51" s="10" t="n">
        <v>93600000</v>
      </c>
      <c r="D51" s="10" t="n">
        <v>93600000</v>
      </c>
      <c r="E51" s="10" t="n">
        <v>93600000</v>
      </c>
      <c r="F51" s="10" t="n">
        <v>93600000</v>
      </c>
      <c r="G51" s="10" t="n">
        <v>93600000</v>
      </c>
      <c r="H51" s="11" t="n">
        <v>0</v>
      </c>
      <c r="I51" s="11" t="n">
        <v>0</v>
      </c>
    </row>
    <row r="52" customFormat="false" ht="22.5" hidden="false" customHeight="true" outlineLevel="0" collapsed="false">
      <c r="A52" s="7" t="s">
        <v>42</v>
      </c>
      <c r="B52" s="11" t="s">
        <v>12</v>
      </c>
      <c r="C52" s="10" t="n">
        <v>0</v>
      </c>
      <c r="D52" s="10" t="n">
        <v>0</v>
      </c>
      <c r="E52" s="10" t="n">
        <v>0</v>
      </c>
      <c r="F52" s="10" t="n">
        <v>0</v>
      </c>
      <c r="G52" s="10" t="n">
        <v>0</v>
      </c>
      <c r="H52" s="11" t="n">
        <v>0</v>
      </c>
      <c r="I52" s="11" t="n">
        <v>0</v>
      </c>
    </row>
    <row r="53" customFormat="false" ht="22.5" hidden="false" customHeight="true" outlineLevel="0" collapsed="false">
      <c r="A53" s="7" t="s">
        <v>43</v>
      </c>
      <c r="B53" s="11" t="s">
        <v>12</v>
      </c>
      <c r="C53" s="10" t="n">
        <v>0</v>
      </c>
      <c r="D53" s="10" t="n">
        <v>0</v>
      </c>
      <c r="E53" s="10" t="n">
        <v>0</v>
      </c>
      <c r="F53" s="10" t="n">
        <v>0</v>
      </c>
      <c r="G53" s="10" t="n">
        <v>100000000</v>
      </c>
      <c r="H53" s="11" t="n">
        <v>0</v>
      </c>
      <c r="I53" s="11" t="n">
        <v>0</v>
      </c>
    </row>
    <row r="54" customFormat="false" ht="22.5" hidden="false" customHeight="true" outlineLevel="0" collapsed="false">
      <c r="A54" s="7" t="s">
        <v>44</v>
      </c>
      <c r="B54" s="11" t="s">
        <v>12</v>
      </c>
      <c r="C54" s="10" t="n">
        <v>2240000</v>
      </c>
      <c r="D54" s="10" t="n">
        <v>2240000</v>
      </c>
      <c r="E54" s="10" t="n">
        <v>2240000</v>
      </c>
      <c r="F54" s="10" t="n">
        <v>2240000</v>
      </c>
      <c r="G54" s="10" t="n">
        <v>2240000</v>
      </c>
      <c r="H54" s="11" t="n">
        <v>0</v>
      </c>
      <c r="I54" s="11" t="n">
        <v>0</v>
      </c>
    </row>
    <row r="57" customFormat="false" ht="22.5" hidden="false" customHeight="true" outlineLevel="0" collapsed="false">
      <c r="A57" s="2" t="s">
        <v>46</v>
      </c>
      <c r="B57" s="2"/>
      <c r="C57" s="2"/>
      <c r="D57" s="2"/>
      <c r="E57" s="2"/>
      <c r="F57" s="2"/>
      <c r="G57" s="2"/>
      <c r="H57" s="2"/>
      <c r="I57" s="2"/>
    </row>
    <row r="58" customFormat="false" ht="22.5" hidden="false" customHeight="true" outlineLevel="0" collapsed="false">
      <c r="A58" s="7" t="s">
        <v>26</v>
      </c>
      <c r="B58" s="12" t="n">
        <v>0.08</v>
      </c>
    </row>
    <row r="59" customFormat="false" ht="22.5" hidden="false" customHeight="true" outlineLevel="0" collapsed="false">
      <c r="A59" s="7" t="s">
        <v>27</v>
      </c>
      <c r="B59" s="12" t="n">
        <v>0.5</v>
      </c>
    </row>
    <row r="60" customFormat="false" ht="22.5" hidden="false" customHeight="true" outlineLevel="0" collapsed="false">
      <c r="A60" s="7" t="s">
        <v>28</v>
      </c>
      <c r="B60" s="10" t="n">
        <v>0</v>
      </c>
    </row>
    <row r="61" customFormat="false" ht="22.5" hidden="false" customHeight="true" outlineLevel="0" collapsed="false">
      <c r="A61" s="7" t="s">
        <v>29</v>
      </c>
      <c r="B61" s="0" t="n">
        <v>7</v>
      </c>
    </row>
    <row r="62" customFormat="false" ht="22.5" hidden="false" customHeight="true" outlineLevel="0" collapsed="false">
      <c r="C62" s="13" t="n">
        <v>2027</v>
      </c>
      <c r="D62" s="13" t="n">
        <v>2028</v>
      </c>
      <c r="E62" s="13" t="n">
        <v>2029</v>
      </c>
      <c r="F62" s="13" t="n">
        <v>2030</v>
      </c>
      <c r="G62" s="13" t="n">
        <v>2031</v>
      </c>
      <c r="H62" s="13" t="n">
        <v>2032</v>
      </c>
      <c r="I62" s="13" t="n">
        <v>2033</v>
      </c>
    </row>
    <row r="63" customFormat="false" ht="22.5" hidden="false" customHeight="true" outlineLevel="0" collapsed="false">
      <c r="A63" s="7" t="s">
        <v>30</v>
      </c>
      <c r="B63" s="11" t="s">
        <v>31</v>
      </c>
      <c r="C63" s="10" t="n">
        <v>11460.6461538462</v>
      </c>
      <c r="D63" s="10" t="n">
        <v>12415.7</v>
      </c>
      <c r="E63" s="10" t="n">
        <v>12415.7</v>
      </c>
      <c r="F63" s="10" t="n">
        <v>12415.7</v>
      </c>
      <c r="G63" s="10" t="n">
        <v>12415.7</v>
      </c>
      <c r="H63" s="10" t="n">
        <v>12415.7</v>
      </c>
      <c r="I63" s="10" t="n">
        <v>12415.7</v>
      </c>
    </row>
    <row r="64" customFormat="false" ht="22.5" hidden="false" customHeight="true" outlineLevel="0" collapsed="false">
      <c r="A64" s="7" t="s">
        <v>32</v>
      </c>
      <c r="B64" s="11" t="s">
        <v>33</v>
      </c>
      <c r="C64" s="10" t="n">
        <v>76512</v>
      </c>
      <c r="D64" s="10" t="n">
        <v>76512</v>
      </c>
      <c r="E64" s="10" t="n">
        <v>76512</v>
      </c>
      <c r="F64" s="10" t="n">
        <v>76512</v>
      </c>
      <c r="G64" s="10" t="n">
        <v>76512</v>
      </c>
      <c r="H64" s="10" t="n">
        <v>76512</v>
      </c>
      <c r="I64" s="10" t="n">
        <v>76512</v>
      </c>
    </row>
    <row r="65" customFormat="false" ht="22.5" hidden="false" customHeight="true" outlineLevel="0" collapsed="false">
      <c r="A65" s="7" t="s">
        <v>34</v>
      </c>
      <c r="B65" s="11" t="s">
        <v>35</v>
      </c>
      <c r="C65" s="10" t="n">
        <v>1</v>
      </c>
      <c r="D65" s="10" t="n">
        <v>1</v>
      </c>
      <c r="E65" s="10" t="n">
        <v>1</v>
      </c>
      <c r="F65" s="10" t="n">
        <v>1</v>
      </c>
      <c r="G65" s="10" t="n">
        <v>1</v>
      </c>
      <c r="H65" s="10" t="n">
        <v>1</v>
      </c>
      <c r="I65" s="10" t="n">
        <v>1</v>
      </c>
    </row>
    <row r="66" customFormat="false" ht="22.5" hidden="false" customHeight="true" outlineLevel="0" collapsed="false">
      <c r="A66" s="7" t="s">
        <v>36</v>
      </c>
      <c r="B66" s="11" t="s">
        <v>33</v>
      </c>
      <c r="C66" s="10" t="n">
        <v>28238.275</v>
      </c>
      <c r="D66" s="10" t="n">
        <v>26066.1</v>
      </c>
      <c r="E66" s="10" t="n">
        <v>26066.1</v>
      </c>
      <c r="F66" s="10" t="n">
        <v>26066.1</v>
      </c>
      <c r="G66" s="10" t="n">
        <v>26066.1</v>
      </c>
      <c r="H66" s="10" t="n">
        <v>26066.1</v>
      </c>
      <c r="I66" s="10" t="n">
        <v>26066.1</v>
      </c>
    </row>
    <row r="67" customFormat="false" ht="22.5" hidden="false" customHeight="true" outlineLevel="0" collapsed="false">
      <c r="A67" s="7" t="s">
        <v>37</v>
      </c>
      <c r="B67" s="11" t="s">
        <v>38</v>
      </c>
      <c r="C67" s="12" t="n">
        <v>0</v>
      </c>
      <c r="D67" s="12" t="n">
        <v>0</v>
      </c>
      <c r="E67" s="12" t="n">
        <v>0</v>
      </c>
      <c r="F67" s="12" t="n">
        <v>0</v>
      </c>
      <c r="G67" s="12" t="n">
        <v>0</v>
      </c>
      <c r="H67" s="12" t="n">
        <v>0</v>
      </c>
      <c r="I67" s="12" t="n">
        <v>0</v>
      </c>
    </row>
    <row r="68" customFormat="false" ht="22.5" hidden="false" customHeight="true" outlineLevel="0" collapsed="false">
      <c r="A68" s="7" t="s">
        <v>39</v>
      </c>
      <c r="B68" s="11" t="s">
        <v>38</v>
      </c>
      <c r="C68" s="12" t="n">
        <v>0.3</v>
      </c>
      <c r="D68" s="12" t="n">
        <v>0.3</v>
      </c>
      <c r="E68" s="12" t="n">
        <v>0.3</v>
      </c>
      <c r="F68" s="12" t="n">
        <v>0.3</v>
      </c>
      <c r="G68" s="12" t="n">
        <v>0.3</v>
      </c>
      <c r="H68" s="12" t="n">
        <v>0.3</v>
      </c>
      <c r="I68" s="12" t="n">
        <v>0.3</v>
      </c>
    </row>
    <row r="69" customFormat="false" ht="22.5" hidden="false" customHeight="true" outlineLevel="0" collapsed="false">
      <c r="A69" s="7" t="s">
        <v>40</v>
      </c>
      <c r="B69" s="11" t="s">
        <v>12</v>
      </c>
      <c r="C69" s="10" t="n">
        <v>0</v>
      </c>
      <c r="D69" s="10" t="n">
        <v>0</v>
      </c>
      <c r="E69" s="10" t="n">
        <v>0</v>
      </c>
      <c r="F69" s="10" t="n">
        <v>0</v>
      </c>
      <c r="G69" s="10" t="n">
        <v>0</v>
      </c>
      <c r="H69" s="10" t="n">
        <v>0</v>
      </c>
      <c r="I69" s="10" t="n">
        <v>0</v>
      </c>
    </row>
    <row r="70" customFormat="false" ht="22.5" hidden="false" customHeight="true" outlineLevel="0" collapsed="false">
      <c r="A70" s="7" t="s">
        <v>41</v>
      </c>
      <c r="B70" s="11" t="s">
        <v>12</v>
      </c>
      <c r="C70" s="10" t="n">
        <v>93600000</v>
      </c>
      <c r="D70" s="10" t="n">
        <v>93600000</v>
      </c>
      <c r="E70" s="10" t="n">
        <v>93600000</v>
      </c>
      <c r="F70" s="10" t="n">
        <v>93600000</v>
      </c>
      <c r="G70" s="10" t="n">
        <v>93600000</v>
      </c>
      <c r="H70" s="10" t="n">
        <v>93600000</v>
      </c>
      <c r="I70" s="10" t="n">
        <v>93600000</v>
      </c>
    </row>
    <row r="71" customFormat="false" ht="22.5" hidden="false" customHeight="true" outlineLevel="0" collapsed="false">
      <c r="A71" s="7" t="s">
        <v>42</v>
      </c>
      <c r="B71" s="11" t="s">
        <v>12</v>
      </c>
      <c r="C71" s="10" t="n">
        <v>0</v>
      </c>
      <c r="D71" s="10" t="n">
        <v>0</v>
      </c>
      <c r="E71" s="10" t="n">
        <v>0</v>
      </c>
      <c r="F71" s="10" t="n">
        <v>0</v>
      </c>
      <c r="G71" s="10" t="n">
        <v>0</v>
      </c>
      <c r="H71" s="10" t="n">
        <v>0</v>
      </c>
      <c r="I71" s="10" t="n">
        <v>0</v>
      </c>
    </row>
    <row r="72" customFormat="false" ht="22.5" hidden="false" customHeight="true" outlineLevel="0" collapsed="false">
      <c r="A72" s="7" t="s">
        <v>43</v>
      </c>
      <c r="B72" s="11" t="s">
        <v>12</v>
      </c>
      <c r="C72" s="10" t="n">
        <v>0</v>
      </c>
      <c r="D72" s="10" t="n">
        <v>0</v>
      </c>
      <c r="E72" s="10" t="n">
        <v>0</v>
      </c>
      <c r="F72" s="10" t="n">
        <v>0</v>
      </c>
      <c r="G72" s="10" t="n">
        <v>0</v>
      </c>
      <c r="H72" s="10" t="n">
        <v>0</v>
      </c>
      <c r="I72" s="10" t="n">
        <v>100000000</v>
      </c>
    </row>
    <row r="73" customFormat="false" ht="22.5" hidden="false" customHeight="true" outlineLevel="0" collapsed="false">
      <c r="A73" s="7" t="s">
        <v>44</v>
      </c>
      <c r="B73" s="11" t="s">
        <v>12</v>
      </c>
      <c r="C73" s="10" t="n">
        <v>2240000</v>
      </c>
      <c r="D73" s="10" t="n">
        <v>2240000</v>
      </c>
      <c r="E73" s="10" t="n">
        <v>2240000</v>
      </c>
      <c r="F73" s="10" t="n">
        <v>2240000</v>
      </c>
      <c r="G73" s="10" t="n">
        <v>2240000</v>
      </c>
      <c r="H73" s="10" t="n">
        <v>2240000</v>
      </c>
      <c r="I73" s="10" t="n">
        <v>2240000</v>
      </c>
    </row>
  </sheetData>
  <mergeCells count="6">
    <mergeCell ref="A1:I2"/>
    <mergeCell ref="C4:H4"/>
    <mergeCell ref="A15:H16"/>
    <mergeCell ref="A19:I19"/>
    <mergeCell ref="A38:I38"/>
    <mergeCell ref="A57:I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Assumptions&amp;RPage &amp;P of &amp;N</oddFooter>
  </headerFooter>
  <rowBreaks count="3" manualBreakCount="3">
    <brk id="18" man="true" max="16383" min="0"/>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6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18.71"/>
    <col collapsed="false" customWidth="true" hidden="false" outlineLevel="0" max="5" min="3" style="0" width="15.71"/>
    <col collapsed="false" customWidth="true" hidden="false" outlineLevel="0" max="6" min="6" style="0" width="26.72"/>
    <col collapsed="false" customWidth="true" hidden="false" outlineLevel="0" max="7" min="7" style="0" width="15.71"/>
    <col collapsed="false" customWidth="true" hidden="false" outlineLevel="0" max="8" min="8" style="0" width="24.71"/>
    <col collapsed="false" customWidth="true" hidden="false" outlineLevel="0" max="9" min="9" style="0" width="15.71"/>
  </cols>
  <sheetData>
    <row r="1" customFormat="false" ht="22.5" hidden="false" customHeight="true" outlineLevel="0" collapsed="false">
      <c r="A1" s="1" t="s">
        <v>47</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48</v>
      </c>
      <c r="B4" s="6"/>
      <c r="C4" s="6"/>
      <c r="D4" s="6"/>
      <c r="E4" s="6"/>
      <c r="F4" s="6"/>
      <c r="G4" s="6"/>
      <c r="H4" s="6"/>
      <c r="I4" s="6"/>
    </row>
    <row r="6" customFormat="false" ht="22.5" hidden="false" customHeight="true" outlineLevel="0" collapsed="false">
      <c r="A6" s="8" t="s">
        <v>49</v>
      </c>
      <c r="B6" s="8" t="s">
        <v>50</v>
      </c>
      <c r="C6" s="8" t="s">
        <v>51</v>
      </c>
      <c r="D6" s="8" t="s">
        <v>52</v>
      </c>
      <c r="E6" s="8" t="s">
        <v>53</v>
      </c>
      <c r="F6" s="8" t="s">
        <v>54</v>
      </c>
      <c r="G6" s="8" t="s">
        <v>55</v>
      </c>
      <c r="H6" s="8" t="s">
        <v>56</v>
      </c>
      <c r="I6" s="8" t="s">
        <v>57</v>
      </c>
    </row>
    <row r="7" customFormat="false" ht="42" hidden="false" customHeight="true" outlineLevel="0" collapsed="false">
      <c r="A7" s="7" t="s">
        <v>58</v>
      </c>
      <c r="B7" s="7" t="s">
        <v>59</v>
      </c>
      <c r="C7" s="14" t="n">
        <v>293606000</v>
      </c>
      <c r="D7" s="7" t="s">
        <v>12</v>
      </c>
      <c r="E7" s="7" t="s">
        <v>12</v>
      </c>
      <c r="F7" s="7" t="s">
        <v>60</v>
      </c>
      <c r="G7" s="7" t="s">
        <v>61</v>
      </c>
      <c r="H7" s="15" t="s">
        <v>62</v>
      </c>
      <c r="I7" s="7" t="s">
        <v>63</v>
      </c>
    </row>
    <row r="8" customFormat="false" ht="42" hidden="false" customHeight="true" outlineLevel="0" collapsed="false">
      <c r="A8" s="7" t="s">
        <v>64</v>
      </c>
      <c r="B8" s="7" t="s">
        <v>59</v>
      </c>
      <c r="C8" s="14" t="n">
        <v>2849000</v>
      </c>
      <c r="D8" s="7" t="s">
        <v>12</v>
      </c>
      <c r="E8" s="7" t="s">
        <v>12</v>
      </c>
      <c r="F8" s="7" t="s">
        <v>60</v>
      </c>
      <c r="G8" s="7" t="s">
        <v>61</v>
      </c>
      <c r="H8" s="15" t="s">
        <v>62</v>
      </c>
      <c r="I8" s="7" t="s">
        <v>63</v>
      </c>
    </row>
    <row r="9" customFormat="false" ht="42" hidden="false" customHeight="true" outlineLevel="0" collapsed="false">
      <c r="A9" s="7" t="s">
        <v>65</v>
      </c>
      <c r="B9" s="7" t="s">
        <v>59</v>
      </c>
      <c r="C9" s="14" t="n">
        <v>436000</v>
      </c>
      <c r="D9" s="7" t="s">
        <v>12</v>
      </c>
      <c r="E9" s="7" t="s">
        <v>12</v>
      </c>
      <c r="F9" s="7" t="s">
        <v>60</v>
      </c>
      <c r="G9" s="7" t="s">
        <v>61</v>
      </c>
      <c r="H9" s="15" t="s">
        <v>62</v>
      </c>
      <c r="I9" s="7" t="s">
        <v>63</v>
      </c>
    </row>
    <row r="10" customFormat="false" ht="42" hidden="false" customHeight="true" outlineLevel="0" collapsed="false">
      <c r="A10" s="7" t="s">
        <v>66</v>
      </c>
      <c r="B10" s="7" t="s">
        <v>59</v>
      </c>
      <c r="C10" s="14" t="n">
        <v>886392538</v>
      </c>
      <c r="D10" s="7" t="s">
        <v>16</v>
      </c>
      <c r="E10" s="7"/>
      <c r="F10" s="7" t="s">
        <v>67</v>
      </c>
      <c r="G10" s="7" t="s">
        <v>68</v>
      </c>
      <c r="H10" s="15" t="s">
        <v>62</v>
      </c>
      <c r="I10" s="7" t="s">
        <v>69</v>
      </c>
    </row>
    <row r="11" customFormat="false" ht="42" hidden="false" customHeight="true" outlineLevel="0" collapsed="false">
      <c r="A11" s="7" t="s">
        <v>70</v>
      </c>
      <c r="B11" s="7" t="s">
        <v>59</v>
      </c>
      <c r="C11" s="14" t="n">
        <v>33035000</v>
      </c>
      <c r="D11" s="7" t="s">
        <v>12</v>
      </c>
      <c r="E11" s="7" t="s">
        <v>12</v>
      </c>
      <c r="F11" s="7" t="s">
        <v>60</v>
      </c>
      <c r="G11" s="7" t="s">
        <v>61</v>
      </c>
      <c r="H11" s="15" t="s">
        <v>62</v>
      </c>
      <c r="I11" s="7" t="s">
        <v>71</v>
      </c>
    </row>
    <row r="12" customFormat="false" ht="42" hidden="false" customHeight="true" outlineLevel="0" collapsed="false">
      <c r="A12" s="7" t="s">
        <v>72</v>
      </c>
      <c r="B12" s="7" t="s">
        <v>73</v>
      </c>
      <c r="C12" s="14" t="n">
        <v>128323000</v>
      </c>
      <c r="D12" s="7" t="s">
        <v>12</v>
      </c>
      <c r="E12" s="7" t="s">
        <v>12</v>
      </c>
      <c r="F12" s="7" t="s">
        <v>60</v>
      </c>
      <c r="G12" s="7" t="s">
        <v>61</v>
      </c>
      <c r="H12" s="15" t="s">
        <v>62</v>
      </c>
      <c r="I12" s="7" t="s">
        <v>74</v>
      </c>
    </row>
    <row r="13" customFormat="false" ht="42" hidden="false" customHeight="true" outlineLevel="0" collapsed="false">
      <c r="A13" s="7" t="s">
        <v>75</v>
      </c>
      <c r="B13" s="7" t="s">
        <v>73</v>
      </c>
      <c r="C13" s="14" t="n">
        <v>13747000</v>
      </c>
      <c r="D13" s="7" t="s">
        <v>12</v>
      </c>
      <c r="E13" s="7" t="s">
        <v>12</v>
      </c>
      <c r="F13" s="7" t="s">
        <v>60</v>
      </c>
      <c r="G13" s="7" t="s">
        <v>61</v>
      </c>
      <c r="H13" s="15" t="s">
        <v>62</v>
      </c>
      <c r="I13" s="7" t="s">
        <v>74</v>
      </c>
    </row>
    <row r="14" customFormat="false" ht="42" hidden="false" customHeight="true" outlineLevel="0" collapsed="false">
      <c r="A14" s="7" t="s">
        <v>76</v>
      </c>
      <c r="B14" s="7" t="s">
        <v>73</v>
      </c>
      <c r="C14" s="14" t="n">
        <v>22211000</v>
      </c>
      <c r="D14" s="7" t="s">
        <v>12</v>
      </c>
      <c r="E14" s="7" t="s">
        <v>12</v>
      </c>
      <c r="F14" s="7" t="s">
        <v>60</v>
      </c>
      <c r="G14" s="7" t="s">
        <v>61</v>
      </c>
      <c r="H14" s="15" t="s">
        <v>62</v>
      </c>
      <c r="I14" s="7" t="s">
        <v>74</v>
      </c>
    </row>
    <row r="15" customFormat="false" ht="42" hidden="false" customHeight="true" outlineLevel="0" collapsed="false">
      <c r="A15" s="7" t="s">
        <v>77</v>
      </c>
      <c r="B15" s="7" t="s">
        <v>73</v>
      </c>
      <c r="C15" s="14" t="n">
        <v>10748</v>
      </c>
      <c r="D15" s="7" t="s">
        <v>78</v>
      </c>
      <c r="E15" s="7"/>
      <c r="F15" s="7" t="s">
        <v>79</v>
      </c>
      <c r="G15" s="7" t="s">
        <v>61</v>
      </c>
      <c r="H15" s="15" t="s">
        <v>62</v>
      </c>
      <c r="I15" s="7" t="s">
        <v>80</v>
      </c>
    </row>
    <row r="16" customFormat="false" ht="42" hidden="false" customHeight="true" outlineLevel="0" collapsed="false">
      <c r="A16" s="7" t="s">
        <v>81</v>
      </c>
      <c r="B16" s="7" t="s">
        <v>82</v>
      </c>
      <c r="C16" s="14" t="n">
        <v>0.5</v>
      </c>
      <c r="D16" s="7" t="s">
        <v>38</v>
      </c>
      <c r="E16" s="7"/>
      <c r="F16" s="7" t="s">
        <v>79</v>
      </c>
      <c r="G16" s="7" t="s">
        <v>83</v>
      </c>
      <c r="H16" s="15" t="s">
        <v>62</v>
      </c>
      <c r="I16" s="7" t="s">
        <v>84</v>
      </c>
    </row>
    <row r="17" customFormat="false" ht="42" hidden="false" customHeight="true" outlineLevel="0" collapsed="false">
      <c r="A17" s="7" t="s">
        <v>77</v>
      </c>
      <c r="B17" s="7" t="s">
        <v>82</v>
      </c>
      <c r="C17" s="14" t="n">
        <v>2809</v>
      </c>
      <c r="D17" s="7" t="s">
        <v>78</v>
      </c>
      <c r="E17" s="7"/>
      <c r="F17" s="7" t="s">
        <v>79</v>
      </c>
      <c r="G17" s="7" t="s">
        <v>83</v>
      </c>
      <c r="H17" s="15" t="s">
        <v>62</v>
      </c>
      <c r="I17" s="7" t="s">
        <v>84</v>
      </c>
    </row>
    <row r="18" customFormat="false" ht="42" hidden="false" customHeight="true" outlineLevel="0" collapsed="false">
      <c r="A18" s="7" t="s">
        <v>77</v>
      </c>
      <c r="B18" s="7" t="s">
        <v>85</v>
      </c>
      <c r="C18" s="14" t="n">
        <v>11287</v>
      </c>
      <c r="D18" s="7" t="s">
        <v>78</v>
      </c>
      <c r="E18" s="7"/>
      <c r="F18" s="7" t="s">
        <v>79</v>
      </c>
      <c r="G18" s="7" t="s">
        <v>83</v>
      </c>
      <c r="H18" s="15" t="s">
        <v>62</v>
      </c>
      <c r="I18" s="7" t="s">
        <v>84</v>
      </c>
    </row>
    <row r="19" customFormat="false" ht="42" hidden="false" customHeight="true" outlineLevel="0" collapsed="false">
      <c r="A19" s="7" t="s">
        <v>86</v>
      </c>
      <c r="B19" s="7" t="s">
        <v>82</v>
      </c>
      <c r="C19" s="14" t="n">
        <v>73834</v>
      </c>
      <c r="D19" s="7" t="s">
        <v>87</v>
      </c>
      <c r="E19" s="7" t="s">
        <v>12</v>
      </c>
      <c r="F19" s="7" t="s">
        <v>79</v>
      </c>
      <c r="G19" s="7" t="s">
        <v>83</v>
      </c>
      <c r="H19" s="15" t="s">
        <v>62</v>
      </c>
      <c r="I19" s="7" t="s">
        <v>84</v>
      </c>
    </row>
    <row r="20" customFormat="false" ht="42" hidden="false" customHeight="true" outlineLevel="0" collapsed="false">
      <c r="A20" s="7" t="s">
        <v>86</v>
      </c>
      <c r="B20" s="7" t="s">
        <v>85</v>
      </c>
      <c r="C20" s="14" t="n">
        <v>63760</v>
      </c>
      <c r="D20" s="7" t="s">
        <v>87</v>
      </c>
      <c r="E20" s="7" t="s">
        <v>12</v>
      </c>
      <c r="F20" s="7" t="s">
        <v>79</v>
      </c>
      <c r="G20" s="7" t="s">
        <v>83</v>
      </c>
      <c r="H20" s="15" t="s">
        <v>62</v>
      </c>
      <c r="I20" s="7" t="s">
        <v>84</v>
      </c>
    </row>
    <row r="21" customFormat="false" ht="42" hidden="false" customHeight="true" outlineLevel="0" collapsed="false">
      <c r="A21" s="7" t="s">
        <v>88</v>
      </c>
      <c r="B21" s="7" t="s">
        <v>82</v>
      </c>
      <c r="C21" s="14" t="n">
        <v>20251</v>
      </c>
      <c r="D21" s="7" t="s">
        <v>87</v>
      </c>
      <c r="E21" s="7" t="s">
        <v>12</v>
      </c>
      <c r="F21" s="7" t="s">
        <v>79</v>
      </c>
      <c r="G21" s="7" t="s">
        <v>83</v>
      </c>
      <c r="H21" s="15" t="s">
        <v>62</v>
      </c>
      <c r="I21" s="7" t="s">
        <v>84</v>
      </c>
    </row>
    <row r="22" customFormat="false" ht="42" hidden="false" customHeight="true" outlineLevel="0" collapsed="false">
      <c r="A22" s="7" t="s">
        <v>88</v>
      </c>
      <c r="B22" s="7" t="s">
        <v>85</v>
      </c>
      <c r="C22" s="14" t="n">
        <v>19349</v>
      </c>
      <c r="D22" s="7" t="s">
        <v>87</v>
      </c>
      <c r="E22" s="7" t="s">
        <v>12</v>
      </c>
      <c r="F22" s="7" t="s">
        <v>79</v>
      </c>
      <c r="G22" s="7" t="s">
        <v>83</v>
      </c>
      <c r="H22" s="15" t="s">
        <v>62</v>
      </c>
      <c r="I22" s="7" t="s">
        <v>84</v>
      </c>
    </row>
    <row r="23" customFormat="false" ht="42" hidden="false" customHeight="true" outlineLevel="0" collapsed="false">
      <c r="A23" s="7" t="s">
        <v>89</v>
      </c>
      <c r="B23" s="7" t="s">
        <v>82</v>
      </c>
      <c r="C23" s="14" t="n">
        <v>8758</v>
      </c>
      <c r="D23" s="7" t="s">
        <v>87</v>
      </c>
      <c r="E23" s="7" t="s">
        <v>12</v>
      </c>
      <c r="F23" s="7" t="s">
        <v>79</v>
      </c>
      <c r="G23" s="7" t="s">
        <v>83</v>
      </c>
      <c r="H23" s="15" t="s">
        <v>62</v>
      </c>
      <c r="I23" s="7" t="s">
        <v>84</v>
      </c>
    </row>
    <row r="24" customFormat="false" ht="42" hidden="false" customHeight="true" outlineLevel="0" collapsed="false">
      <c r="A24" s="7" t="s">
        <v>90</v>
      </c>
      <c r="B24" s="7" t="s">
        <v>82</v>
      </c>
      <c r="C24" s="14" t="n">
        <v>34865</v>
      </c>
      <c r="D24" s="7" t="s">
        <v>87</v>
      </c>
      <c r="E24" s="7" t="s">
        <v>12</v>
      </c>
      <c r="F24" s="7" t="s">
        <v>79</v>
      </c>
      <c r="G24" s="7" t="s">
        <v>83</v>
      </c>
      <c r="H24" s="15" t="s">
        <v>62</v>
      </c>
      <c r="I24" s="7" t="s">
        <v>84</v>
      </c>
    </row>
    <row r="25" customFormat="false" ht="42" hidden="false" customHeight="true" outlineLevel="0" collapsed="false">
      <c r="A25" s="7" t="s">
        <v>91</v>
      </c>
      <c r="B25" s="7" t="s">
        <v>82</v>
      </c>
      <c r="C25" s="14" t="n">
        <v>23400000</v>
      </c>
      <c r="D25" s="7" t="s">
        <v>12</v>
      </c>
      <c r="E25" s="7" t="s">
        <v>12</v>
      </c>
      <c r="F25" s="7" t="s">
        <v>79</v>
      </c>
      <c r="G25" s="7" t="s">
        <v>83</v>
      </c>
      <c r="H25" s="15" t="s">
        <v>62</v>
      </c>
      <c r="I25" s="7" t="s">
        <v>92</v>
      </c>
    </row>
    <row r="26" customFormat="false" ht="42" hidden="false" customHeight="true" outlineLevel="0" collapsed="false">
      <c r="A26" s="7" t="s">
        <v>93</v>
      </c>
      <c r="B26" s="7" t="s">
        <v>82</v>
      </c>
      <c r="C26" s="14" t="n">
        <v>16450000</v>
      </c>
      <c r="D26" s="7" t="s">
        <v>12</v>
      </c>
      <c r="E26" s="7" t="s">
        <v>12</v>
      </c>
      <c r="F26" s="7" t="s">
        <v>79</v>
      </c>
      <c r="G26" s="7" t="s">
        <v>83</v>
      </c>
      <c r="H26" s="15" t="s">
        <v>62</v>
      </c>
      <c r="I26" s="7" t="s">
        <v>92</v>
      </c>
    </row>
    <row r="27" customFormat="false" ht="42" hidden="false" customHeight="true" outlineLevel="0" collapsed="false">
      <c r="A27" s="7" t="s">
        <v>94</v>
      </c>
      <c r="B27" s="7" t="s">
        <v>82</v>
      </c>
      <c r="C27" s="14" t="n">
        <v>6950000</v>
      </c>
      <c r="D27" s="7" t="s">
        <v>12</v>
      </c>
      <c r="E27" s="7" t="s">
        <v>12</v>
      </c>
      <c r="F27" s="7" t="s">
        <v>79</v>
      </c>
      <c r="G27" s="7" t="s">
        <v>83</v>
      </c>
      <c r="H27" s="15" t="s">
        <v>62</v>
      </c>
      <c r="I27" s="7" t="s">
        <v>92</v>
      </c>
    </row>
    <row r="28" customFormat="false" ht="42" hidden="false" customHeight="true" outlineLevel="0" collapsed="false">
      <c r="A28" s="7" t="s">
        <v>58</v>
      </c>
      <c r="B28" s="7" t="s">
        <v>95</v>
      </c>
      <c r="C28" s="14" t="n">
        <v>373998000</v>
      </c>
      <c r="D28" s="7" t="s">
        <v>12</v>
      </c>
      <c r="E28" s="7" t="s">
        <v>12</v>
      </c>
      <c r="F28" s="7" t="s">
        <v>60</v>
      </c>
      <c r="G28" s="7" t="s">
        <v>68</v>
      </c>
      <c r="H28" s="15" t="s">
        <v>62</v>
      </c>
      <c r="I28" s="7" t="s">
        <v>96</v>
      </c>
    </row>
    <row r="29" customFormat="false" ht="42" hidden="false" customHeight="true" outlineLevel="0" collapsed="false">
      <c r="A29" s="7" t="s">
        <v>97</v>
      </c>
      <c r="B29" s="7" t="s">
        <v>82</v>
      </c>
      <c r="C29" s="14" t="n">
        <v>560000</v>
      </c>
      <c r="D29" s="7" t="s">
        <v>12</v>
      </c>
      <c r="E29" s="7" t="s">
        <v>12</v>
      </c>
      <c r="F29" s="7" t="s">
        <v>60</v>
      </c>
      <c r="G29" s="7" t="s">
        <v>83</v>
      </c>
      <c r="H29" s="15" t="s">
        <v>62</v>
      </c>
      <c r="I29" s="7" t="s">
        <v>98</v>
      </c>
    </row>
    <row r="30" customFormat="false" ht="42" hidden="false" customHeight="true" outlineLevel="0" collapsed="false">
      <c r="A30" s="7" t="s">
        <v>99</v>
      </c>
      <c r="B30" s="7" t="s">
        <v>73</v>
      </c>
      <c r="C30" s="14" t="n">
        <v>284999000</v>
      </c>
      <c r="D30" s="7" t="s">
        <v>12</v>
      </c>
      <c r="E30" s="7" t="s">
        <v>12</v>
      </c>
      <c r="F30" s="7" t="s">
        <v>60</v>
      </c>
      <c r="G30" s="7" t="s">
        <v>61</v>
      </c>
      <c r="H30" s="15" t="s">
        <v>62</v>
      </c>
      <c r="I30" s="7" t="s">
        <v>100</v>
      </c>
    </row>
    <row r="31" customFormat="false" ht="42" hidden="false" customHeight="true" outlineLevel="0" collapsed="false">
      <c r="A31" s="7" t="s">
        <v>99</v>
      </c>
      <c r="B31" s="7" t="s">
        <v>101</v>
      </c>
      <c r="C31" s="14" t="n">
        <v>218820000</v>
      </c>
      <c r="D31" s="7" t="s">
        <v>12</v>
      </c>
      <c r="E31" s="7" t="s">
        <v>12</v>
      </c>
      <c r="F31" s="7" t="s">
        <v>60</v>
      </c>
      <c r="G31" s="7" t="s">
        <v>61</v>
      </c>
      <c r="H31" s="15" t="s">
        <v>62</v>
      </c>
      <c r="I31" s="7" t="s">
        <v>100</v>
      </c>
    </row>
    <row r="32" customFormat="false" ht="42" hidden="false" customHeight="true" outlineLevel="0" collapsed="false">
      <c r="A32" s="7" t="s">
        <v>102</v>
      </c>
      <c r="B32" s="7" t="s">
        <v>73</v>
      </c>
      <c r="C32" s="14" t="n">
        <v>158275000</v>
      </c>
      <c r="D32" s="7" t="s">
        <v>12</v>
      </c>
      <c r="E32" s="7" t="s">
        <v>12</v>
      </c>
      <c r="F32" s="7" t="s">
        <v>60</v>
      </c>
      <c r="G32" s="7" t="s">
        <v>61</v>
      </c>
      <c r="H32" s="15" t="s">
        <v>62</v>
      </c>
      <c r="I32" s="7" t="s">
        <v>100</v>
      </c>
    </row>
    <row r="33" customFormat="false" ht="42" hidden="false" customHeight="true" outlineLevel="0" collapsed="false">
      <c r="A33" s="7" t="s">
        <v>102</v>
      </c>
      <c r="B33" s="7" t="s">
        <v>101</v>
      </c>
      <c r="C33" s="14" t="n">
        <v>123558000</v>
      </c>
      <c r="D33" s="7" t="s">
        <v>12</v>
      </c>
      <c r="E33" s="7" t="s">
        <v>12</v>
      </c>
      <c r="F33" s="7" t="s">
        <v>60</v>
      </c>
      <c r="G33" s="7" t="s">
        <v>61</v>
      </c>
      <c r="H33" s="15" t="s">
        <v>62</v>
      </c>
      <c r="I33" s="7" t="s">
        <v>100</v>
      </c>
    </row>
    <row r="34" customFormat="false" ht="42" hidden="false" customHeight="true" outlineLevel="0" collapsed="false">
      <c r="A34" s="7" t="s">
        <v>103</v>
      </c>
      <c r="B34" s="7" t="s">
        <v>73</v>
      </c>
      <c r="C34" s="14" t="n">
        <v>126724000</v>
      </c>
      <c r="D34" s="7" t="s">
        <v>12</v>
      </c>
      <c r="E34" s="7" t="s">
        <v>12</v>
      </c>
      <c r="F34" s="7" t="s">
        <v>60</v>
      </c>
      <c r="G34" s="7" t="s">
        <v>61</v>
      </c>
      <c r="H34" s="15" t="s">
        <v>62</v>
      </c>
      <c r="I34" s="7" t="s">
        <v>100</v>
      </c>
    </row>
    <row r="35" customFormat="false" ht="42" hidden="false" customHeight="true" outlineLevel="0" collapsed="false">
      <c r="A35" s="7" t="s">
        <v>103</v>
      </c>
      <c r="B35" s="7" t="s">
        <v>101</v>
      </c>
      <c r="C35" s="14" t="n">
        <v>95262000</v>
      </c>
      <c r="D35" s="7" t="s">
        <v>12</v>
      </c>
      <c r="E35" s="7" t="s">
        <v>12</v>
      </c>
      <c r="F35" s="7" t="s">
        <v>60</v>
      </c>
      <c r="G35" s="7" t="s">
        <v>61</v>
      </c>
      <c r="H35" s="15" t="s">
        <v>62</v>
      </c>
      <c r="I35" s="7" t="s">
        <v>100</v>
      </c>
    </row>
    <row r="36" customFormat="false" ht="42" hidden="false" customHeight="true" outlineLevel="0" collapsed="false">
      <c r="A36" s="7" t="s">
        <v>104</v>
      </c>
      <c r="B36" s="7" t="s">
        <v>73</v>
      </c>
      <c r="C36" s="14" t="n">
        <v>4212000</v>
      </c>
      <c r="D36" s="7" t="s">
        <v>12</v>
      </c>
      <c r="E36" s="7" t="s">
        <v>12</v>
      </c>
      <c r="F36" s="7" t="s">
        <v>60</v>
      </c>
      <c r="G36" s="7" t="s">
        <v>61</v>
      </c>
      <c r="H36" s="15" t="s">
        <v>62</v>
      </c>
      <c r="I36" s="7" t="s">
        <v>100</v>
      </c>
    </row>
    <row r="37" customFormat="false" ht="42" hidden="false" customHeight="true" outlineLevel="0" collapsed="false">
      <c r="A37" s="7" t="s">
        <v>104</v>
      </c>
      <c r="B37" s="7" t="s">
        <v>101</v>
      </c>
      <c r="C37" s="14" t="n">
        <v>2744000</v>
      </c>
      <c r="D37" s="7" t="s">
        <v>12</v>
      </c>
      <c r="E37" s="7" t="s">
        <v>12</v>
      </c>
      <c r="F37" s="7" t="s">
        <v>60</v>
      </c>
      <c r="G37" s="7" t="s">
        <v>61</v>
      </c>
      <c r="H37" s="15" t="s">
        <v>62</v>
      </c>
      <c r="I37" s="7" t="s">
        <v>100</v>
      </c>
    </row>
    <row r="38" customFormat="false" ht="42" hidden="false" customHeight="true" outlineLevel="0" collapsed="false">
      <c r="A38" s="7" t="s">
        <v>105</v>
      </c>
      <c r="B38" s="7" t="s">
        <v>73</v>
      </c>
      <c r="C38" s="14" t="n">
        <v>980000</v>
      </c>
      <c r="D38" s="7" t="s">
        <v>12</v>
      </c>
      <c r="E38" s="7" t="s">
        <v>12</v>
      </c>
      <c r="F38" s="7" t="s">
        <v>60</v>
      </c>
      <c r="G38" s="7" t="s">
        <v>61</v>
      </c>
      <c r="H38" s="15" t="s">
        <v>62</v>
      </c>
      <c r="I38" s="7" t="s">
        <v>100</v>
      </c>
    </row>
    <row r="39" customFormat="false" ht="42" hidden="false" customHeight="true" outlineLevel="0" collapsed="false">
      <c r="A39" s="7" t="s">
        <v>105</v>
      </c>
      <c r="B39" s="7" t="s">
        <v>101</v>
      </c>
      <c r="C39" s="14" t="n">
        <v>566000</v>
      </c>
      <c r="D39" s="7" t="s">
        <v>12</v>
      </c>
      <c r="E39" s="7" t="s">
        <v>12</v>
      </c>
      <c r="F39" s="7" t="s">
        <v>60</v>
      </c>
      <c r="G39" s="7" t="s">
        <v>61</v>
      </c>
      <c r="H39" s="15" t="s">
        <v>62</v>
      </c>
      <c r="I39" s="7" t="s">
        <v>100</v>
      </c>
    </row>
    <row r="40" customFormat="false" ht="42" hidden="false" customHeight="true" outlineLevel="0" collapsed="false">
      <c r="A40" s="7" t="s">
        <v>106</v>
      </c>
      <c r="B40" s="7" t="s">
        <v>73</v>
      </c>
      <c r="C40" s="14" t="n">
        <v>138275000</v>
      </c>
      <c r="D40" s="7" t="s">
        <v>12</v>
      </c>
      <c r="E40" s="7" t="s">
        <v>12</v>
      </c>
      <c r="F40" s="7" t="s">
        <v>60</v>
      </c>
      <c r="G40" s="7" t="s">
        <v>61</v>
      </c>
      <c r="H40" s="15" t="s">
        <v>62</v>
      </c>
      <c r="I40" s="7" t="s">
        <v>100</v>
      </c>
    </row>
    <row r="41" customFormat="false" ht="42" hidden="false" customHeight="true" outlineLevel="0" collapsed="false">
      <c r="A41" s="7" t="s">
        <v>106</v>
      </c>
      <c r="B41" s="7" t="s">
        <v>101</v>
      </c>
      <c r="C41" s="14" t="n">
        <v>120227000</v>
      </c>
      <c r="D41" s="7" t="s">
        <v>12</v>
      </c>
      <c r="E41" s="7" t="s">
        <v>12</v>
      </c>
      <c r="F41" s="7" t="s">
        <v>60</v>
      </c>
      <c r="G41" s="7" t="s">
        <v>61</v>
      </c>
      <c r="H41" s="15" t="s">
        <v>62</v>
      </c>
      <c r="I41" s="7" t="s">
        <v>100</v>
      </c>
    </row>
    <row r="42" customFormat="false" ht="42" hidden="false" customHeight="true" outlineLevel="0" collapsed="false">
      <c r="A42" s="7" t="s">
        <v>107</v>
      </c>
      <c r="B42" s="7" t="s">
        <v>73</v>
      </c>
      <c r="C42" s="14" t="n">
        <v>33670000</v>
      </c>
      <c r="D42" s="7" t="s">
        <v>12</v>
      </c>
      <c r="E42" s="7" t="s">
        <v>12</v>
      </c>
      <c r="F42" s="7" t="s">
        <v>60</v>
      </c>
      <c r="G42" s="7" t="s">
        <v>61</v>
      </c>
      <c r="H42" s="15" t="s">
        <v>62</v>
      </c>
      <c r="I42" s="7" t="s">
        <v>100</v>
      </c>
    </row>
    <row r="43" customFormat="false" ht="42" hidden="false" customHeight="true" outlineLevel="0" collapsed="false">
      <c r="A43" s="7" t="s">
        <v>107</v>
      </c>
      <c r="B43" s="7" t="s">
        <v>101</v>
      </c>
      <c r="C43" s="14" t="n">
        <v>17878000</v>
      </c>
      <c r="D43" s="7" t="s">
        <v>12</v>
      </c>
      <c r="E43" s="7" t="s">
        <v>12</v>
      </c>
      <c r="F43" s="7" t="s">
        <v>60</v>
      </c>
      <c r="G43" s="7" t="s">
        <v>61</v>
      </c>
      <c r="H43" s="15" t="s">
        <v>62</v>
      </c>
      <c r="I43" s="7" t="s">
        <v>100</v>
      </c>
    </row>
    <row r="44" customFormat="false" ht="42" hidden="false" customHeight="true" outlineLevel="0" collapsed="false">
      <c r="A44" s="7" t="s">
        <v>108</v>
      </c>
      <c r="B44" s="7" t="s">
        <v>73</v>
      </c>
      <c r="C44" s="14" t="n">
        <v>104605000</v>
      </c>
      <c r="D44" s="7" t="s">
        <v>12</v>
      </c>
      <c r="E44" s="7" t="s">
        <v>12</v>
      </c>
      <c r="F44" s="7" t="s">
        <v>60</v>
      </c>
      <c r="G44" s="7" t="s">
        <v>61</v>
      </c>
      <c r="H44" s="15" t="s">
        <v>62</v>
      </c>
      <c r="I44" s="7" t="s">
        <v>100</v>
      </c>
    </row>
    <row r="45" customFormat="false" ht="42" hidden="false" customHeight="true" outlineLevel="0" collapsed="false">
      <c r="A45" s="7" t="s">
        <v>108</v>
      </c>
      <c r="B45" s="7" t="s">
        <v>101</v>
      </c>
      <c r="C45" s="14" t="n">
        <v>102349000</v>
      </c>
      <c r="D45" s="7" t="s">
        <v>12</v>
      </c>
      <c r="E45" s="7" t="s">
        <v>12</v>
      </c>
      <c r="F45" s="7" t="s">
        <v>60</v>
      </c>
      <c r="G45" s="7" t="s">
        <v>61</v>
      </c>
      <c r="H45" s="15" t="s">
        <v>62</v>
      </c>
      <c r="I45" s="7" t="s">
        <v>100</v>
      </c>
    </row>
    <row r="46" customFormat="false" ht="42" hidden="false" customHeight="true" outlineLevel="0" collapsed="false">
      <c r="A46" s="7" t="s">
        <v>58</v>
      </c>
      <c r="B46" s="7" t="s">
        <v>109</v>
      </c>
      <c r="C46" s="14" t="n">
        <v>220644000</v>
      </c>
      <c r="D46" s="7" t="s">
        <v>12</v>
      </c>
      <c r="E46" s="7" t="s">
        <v>12</v>
      </c>
      <c r="F46" s="7" t="s">
        <v>60</v>
      </c>
      <c r="G46" s="7" t="s">
        <v>61</v>
      </c>
      <c r="H46" s="15" t="s">
        <v>62</v>
      </c>
      <c r="I46" s="7" t="s">
        <v>63</v>
      </c>
    </row>
    <row r="47" customFormat="false" ht="42" hidden="false" customHeight="true" outlineLevel="0" collapsed="false">
      <c r="A47" s="7" t="s">
        <v>110</v>
      </c>
      <c r="B47" s="7" t="s">
        <v>59</v>
      </c>
      <c r="C47" s="14" t="n">
        <v>36473000</v>
      </c>
      <c r="D47" s="7" t="s">
        <v>12</v>
      </c>
      <c r="E47" s="7" t="s">
        <v>12</v>
      </c>
      <c r="F47" s="7" t="s">
        <v>60</v>
      </c>
      <c r="G47" s="7" t="s">
        <v>61</v>
      </c>
      <c r="H47" s="15" t="s">
        <v>62</v>
      </c>
      <c r="I47" s="7" t="s">
        <v>63</v>
      </c>
    </row>
    <row r="48" customFormat="false" ht="42" hidden="false" customHeight="true" outlineLevel="0" collapsed="false">
      <c r="A48" s="7" t="s">
        <v>110</v>
      </c>
      <c r="B48" s="7" t="s">
        <v>109</v>
      </c>
      <c r="C48" s="14" t="n">
        <v>8666000</v>
      </c>
      <c r="D48" s="7" t="s">
        <v>12</v>
      </c>
      <c r="E48" s="7" t="s">
        <v>12</v>
      </c>
      <c r="F48" s="7" t="s">
        <v>60</v>
      </c>
      <c r="G48" s="7" t="s">
        <v>61</v>
      </c>
      <c r="H48" s="15" t="s">
        <v>62</v>
      </c>
      <c r="I48" s="7" t="s">
        <v>63</v>
      </c>
    </row>
    <row r="49" customFormat="false" ht="42" hidden="false" customHeight="true" outlineLevel="0" collapsed="false">
      <c r="A49" s="7" t="s">
        <v>111</v>
      </c>
      <c r="B49" s="7" t="s">
        <v>59</v>
      </c>
      <c r="C49" s="14" t="n">
        <v>29488000</v>
      </c>
      <c r="D49" s="7" t="s">
        <v>12</v>
      </c>
      <c r="E49" s="7" t="s">
        <v>12</v>
      </c>
      <c r="F49" s="7" t="s">
        <v>60</v>
      </c>
      <c r="G49" s="7" t="s">
        <v>61</v>
      </c>
      <c r="H49" s="15" t="s">
        <v>62</v>
      </c>
      <c r="I49" s="7" t="s">
        <v>63</v>
      </c>
    </row>
    <row r="50" customFormat="false" ht="42" hidden="false" customHeight="true" outlineLevel="0" collapsed="false">
      <c r="A50" s="7" t="s">
        <v>111</v>
      </c>
      <c r="B50" s="7" t="s">
        <v>109</v>
      </c>
      <c r="C50" s="14" t="n">
        <v>37573000</v>
      </c>
      <c r="D50" s="7" t="s">
        <v>12</v>
      </c>
      <c r="E50" s="7" t="s">
        <v>12</v>
      </c>
      <c r="F50" s="7" t="s">
        <v>60</v>
      </c>
      <c r="G50" s="7" t="s">
        <v>61</v>
      </c>
      <c r="H50" s="15" t="s">
        <v>62</v>
      </c>
      <c r="I50" s="7" t="s">
        <v>63</v>
      </c>
    </row>
    <row r="51" customFormat="false" ht="42" hidden="false" customHeight="true" outlineLevel="0" collapsed="false">
      <c r="A51" s="7" t="s">
        <v>112</v>
      </c>
      <c r="B51" s="7" t="s">
        <v>59</v>
      </c>
      <c r="C51" s="14" t="n">
        <v>363459000</v>
      </c>
      <c r="D51" s="7" t="s">
        <v>12</v>
      </c>
      <c r="E51" s="7" t="s">
        <v>12</v>
      </c>
      <c r="F51" s="7" t="s">
        <v>60</v>
      </c>
      <c r="G51" s="7" t="s">
        <v>61</v>
      </c>
      <c r="H51" s="15" t="s">
        <v>62</v>
      </c>
      <c r="I51" s="7" t="s">
        <v>63</v>
      </c>
    </row>
    <row r="52" customFormat="false" ht="42" hidden="false" customHeight="true" outlineLevel="0" collapsed="false">
      <c r="A52" s="7" t="s">
        <v>112</v>
      </c>
      <c r="B52" s="7" t="s">
        <v>109</v>
      </c>
      <c r="C52" s="14" t="n">
        <v>271243000</v>
      </c>
      <c r="D52" s="7" t="s">
        <v>12</v>
      </c>
      <c r="E52" s="7" t="s">
        <v>12</v>
      </c>
      <c r="F52" s="7" t="s">
        <v>60</v>
      </c>
      <c r="G52" s="7" t="s">
        <v>61</v>
      </c>
      <c r="H52" s="15" t="s">
        <v>62</v>
      </c>
      <c r="I52" s="7" t="s">
        <v>63</v>
      </c>
    </row>
    <row r="53" customFormat="false" ht="42" hidden="false" customHeight="true" outlineLevel="0" collapsed="false">
      <c r="A53" s="7" t="s">
        <v>113</v>
      </c>
      <c r="B53" s="7" t="s">
        <v>59</v>
      </c>
      <c r="C53" s="14" t="n">
        <v>255050000</v>
      </c>
      <c r="D53" s="7" t="s">
        <v>12</v>
      </c>
      <c r="E53" s="7" t="s">
        <v>12</v>
      </c>
      <c r="F53" s="7" t="s">
        <v>60</v>
      </c>
      <c r="G53" s="7" t="s">
        <v>61</v>
      </c>
      <c r="H53" s="15" t="s">
        <v>62</v>
      </c>
      <c r="I53" s="7" t="s">
        <v>63</v>
      </c>
    </row>
    <row r="54" customFormat="false" ht="42" hidden="false" customHeight="true" outlineLevel="0" collapsed="false">
      <c r="A54" s="7" t="s">
        <v>113</v>
      </c>
      <c r="B54" s="7" t="s">
        <v>109</v>
      </c>
      <c r="C54" s="14" t="n">
        <v>233789000</v>
      </c>
      <c r="D54" s="7" t="s">
        <v>12</v>
      </c>
      <c r="E54" s="7" t="s">
        <v>12</v>
      </c>
      <c r="F54" s="7" t="s">
        <v>60</v>
      </c>
      <c r="G54" s="7" t="s">
        <v>61</v>
      </c>
      <c r="H54" s="15" t="s">
        <v>62</v>
      </c>
      <c r="I54" s="7" t="s">
        <v>63</v>
      </c>
    </row>
    <row r="55" customFormat="false" ht="42" hidden="false" customHeight="true" outlineLevel="0" collapsed="false">
      <c r="A55" s="7" t="s">
        <v>114</v>
      </c>
      <c r="B55" s="7" t="s">
        <v>59</v>
      </c>
      <c r="C55" s="14" t="n">
        <v>618509000</v>
      </c>
      <c r="D55" s="7" t="s">
        <v>12</v>
      </c>
      <c r="E55" s="7" t="s">
        <v>12</v>
      </c>
      <c r="F55" s="7" t="s">
        <v>60</v>
      </c>
      <c r="G55" s="7" t="s">
        <v>61</v>
      </c>
      <c r="H55" s="15" t="s">
        <v>62</v>
      </c>
      <c r="I55" s="7" t="s">
        <v>63</v>
      </c>
    </row>
    <row r="56" customFormat="false" ht="42" hidden="false" customHeight="true" outlineLevel="0" collapsed="false">
      <c r="A56" s="7" t="s">
        <v>114</v>
      </c>
      <c r="B56" s="7" t="s">
        <v>109</v>
      </c>
      <c r="C56" s="14" t="n">
        <v>505032000</v>
      </c>
      <c r="D56" s="7" t="s">
        <v>12</v>
      </c>
      <c r="E56" s="7" t="s">
        <v>12</v>
      </c>
      <c r="F56" s="7" t="s">
        <v>60</v>
      </c>
      <c r="G56" s="7" t="s">
        <v>61</v>
      </c>
      <c r="H56" s="15" t="s">
        <v>62</v>
      </c>
      <c r="I56" s="7" t="s">
        <v>63</v>
      </c>
    </row>
    <row r="57" customFormat="false" ht="42" hidden="false" customHeight="true" outlineLevel="0" collapsed="false">
      <c r="A57" s="7" t="s">
        <v>115</v>
      </c>
      <c r="B57" s="7" t="s">
        <v>59</v>
      </c>
      <c r="C57" s="14" t="n">
        <v>17091000</v>
      </c>
      <c r="D57" s="7" t="s">
        <v>12</v>
      </c>
      <c r="E57" s="7" t="s">
        <v>12</v>
      </c>
      <c r="F57" s="7" t="s">
        <v>60</v>
      </c>
      <c r="G57" s="7" t="s">
        <v>61</v>
      </c>
      <c r="H57" s="15" t="s">
        <v>62</v>
      </c>
      <c r="I57" s="7" t="s">
        <v>63</v>
      </c>
    </row>
    <row r="58" customFormat="false" ht="42" hidden="false" customHeight="true" outlineLevel="0" collapsed="false">
      <c r="A58" s="7" t="s">
        <v>115</v>
      </c>
      <c r="B58" s="7" t="s">
        <v>109</v>
      </c>
      <c r="C58" s="14" t="n">
        <v>20972000</v>
      </c>
      <c r="D58" s="7" t="s">
        <v>12</v>
      </c>
      <c r="E58" s="7" t="s">
        <v>12</v>
      </c>
      <c r="F58" s="7" t="s">
        <v>60</v>
      </c>
      <c r="G58" s="7" t="s">
        <v>61</v>
      </c>
      <c r="H58" s="15" t="s">
        <v>62</v>
      </c>
      <c r="I58" s="7" t="s">
        <v>63</v>
      </c>
    </row>
    <row r="59" customFormat="false" ht="42" hidden="false" customHeight="true" outlineLevel="0" collapsed="false">
      <c r="A59" s="7" t="s">
        <v>64</v>
      </c>
      <c r="B59" s="7" t="s">
        <v>109</v>
      </c>
      <c r="C59" s="14" t="n">
        <v>3645000</v>
      </c>
      <c r="D59" s="7" t="s">
        <v>12</v>
      </c>
      <c r="E59" s="7" t="s">
        <v>12</v>
      </c>
      <c r="F59" s="7" t="s">
        <v>60</v>
      </c>
      <c r="G59" s="7" t="s">
        <v>61</v>
      </c>
      <c r="H59" s="15" t="s">
        <v>62</v>
      </c>
      <c r="I59" s="7" t="s">
        <v>63</v>
      </c>
    </row>
    <row r="60" customFormat="false" ht="42" hidden="false" customHeight="true" outlineLevel="0" collapsed="false">
      <c r="A60" s="7" t="s">
        <v>65</v>
      </c>
      <c r="B60" s="7" t="s">
        <v>109</v>
      </c>
      <c r="C60" s="14" t="n">
        <v>2508000</v>
      </c>
      <c r="D60" s="7" t="s">
        <v>12</v>
      </c>
      <c r="E60" s="7" t="s">
        <v>12</v>
      </c>
      <c r="F60" s="7" t="s">
        <v>60</v>
      </c>
      <c r="G60" s="7" t="s">
        <v>61</v>
      </c>
      <c r="H60" s="15" t="s">
        <v>62</v>
      </c>
      <c r="I60" s="7" t="s">
        <v>63</v>
      </c>
    </row>
    <row r="61" customFormat="false" ht="42" hidden="false" customHeight="true" outlineLevel="0" collapsed="false">
      <c r="A61" s="7" t="s">
        <v>116</v>
      </c>
      <c r="B61" s="7" t="s">
        <v>59</v>
      </c>
      <c r="C61" s="14" t="n">
        <v>51679000</v>
      </c>
      <c r="D61" s="7" t="s">
        <v>12</v>
      </c>
      <c r="E61" s="7" t="s">
        <v>12</v>
      </c>
      <c r="F61" s="7" t="s">
        <v>60</v>
      </c>
      <c r="G61" s="7" t="s">
        <v>61</v>
      </c>
      <c r="H61" s="15" t="s">
        <v>62</v>
      </c>
      <c r="I61" s="7" t="s">
        <v>63</v>
      </c>
    </row>
    <row r="62" customFormat="false" ht="42" hidden="false" customHeight="true" outlineLevel="0" collapsed="false">
      <c r="A62" s="7" t="s">
        <v>116</v>
      </c>
      <c r="B62" s="7" t="s">
        <v>109</v>
      </c>
      <c r="C62" s="14" t="n">
        <v>43857000</v>
      </c>
      <c r="D62" s="7" t="s">
        <v>12</v>
      </c>
      <c r="E62" s="7" t="s">
        <v>12</v>
      </c>
      <c r="F62" s="7" t="s">
        <v>60</v>
      </c>
      <c r="G62" s="7" t="s">
        <v>61</v>
      </c>
      <c r="H62" s="15" t="s">
        <v>62</v>
      </c>
      <c r="I62" s="7" t="s">
        <v>63</v>
      </c>
    </row>
    <row r="63" customFormat="false" ht="42" hidden="false" customHeight="true" outlineLevel="0" collapsed="false">
      <c r="A63" s="7" t="s">
        <v>117</v>
      </c>
      <c r="B63" s="7" t="s">
        <v>59</v>
      </c>
      <c r="C63" s="14" t="n">
        <v>34297000</v>
      </c>
      <c r="D63" s="7" t="s">
        <v>12</v>
      </c>
      <c r="E63" s="7" t="s">
        <v>12</v>
      </c>
      <c r="F63" s="7" t="s">
        <v>60</v>
      </c>
      <c r="G63" s="7" t="s">
        <v>61</v>
      </c>
      <c r="H63" s="15" t="s">
        <v>62</v>
      </c>
      <c r="I63" s="7" t="s">
        <v>63</v>
      </c>
    </row>
    <row r="64" customFormat="false" ht="42" hidden="false" customHeight="true" outlineLevel="0" collapsed="false">
      <c r="A64" s="7" t="s">
        <v>117</v>
      </c>
      <c r="B64" s="7" t="s">
        <v>109</v>
      </c>
      <c r="C64" s="14" t="n">
        <v>33401000</v>
      </c>
      <c r="D64" s="7" t="s">
        <v>12</v>
      </c>
      <c r="E64" s="7" t="s">
        <v>12</v>
      </c>
      <c r="F64" s="7" t="s">
        <v>60</v>
      </c>
      <c r="G64" s="7" t="s">
        <v>61</v>
      </c>
      <c r="H64" s="15" t="s">
        <v>62</v>
      </c>
      <c r="I64" s="7" t="s">
        <v>63</v>
      </c>
    </row>
    <row r="65" customFormat="false" ht="42" hidden="false" customHeight="true" outlineLevel="0" collapsed="false">
      <c r="A65" s="7" t="s">
        <v>118</v>
      </c>
      <c r="B65" s="7" t="s">
        <v>59</v>
      </c>
      <c r="C65" s="14" t="n">
        <v>85976000</v>
      </c>
      <c r="D65" s="7" t="s">
        <v>12</v>
      </c>
      <c r="E65" s="7" t="s">
        <v>12</v>
      </c>
      <c r="F65" s="7" t="s">
        <v>60</v>
      </c>
      <c r="G65" s="7" t="s">
        <v>61</v>
      </c>
      <c r="H65" s="15" t="s">
        <v>62</v>
      </c>
      <c r="I65" s="7" t="s">
        <v>63</v>
      </c>
    </row>
    <row r="66" customFormat="false" ht="42" hidden="false" customHeight="true" outlineLevel="0" collapsed="false">
      <c r="A66" s="7" t="s">
        <v>118</v>
      </c>
      <c r="B66" s="7" t="s">
        <v>109</v>
      </c>
      <c r="C66" s="14" t="n">
        <v>77258000</v>
      </c>
      <c r="D66" s="7" t="s">
        <v>12</v>
      </c>
      <c r="E66" s="7" t="s">
        <v>12</v>
      </c>
      <c r="F66" s="7" t="s">
        <v>60</v>
      </c>
      <c r="G66" s="7" t="s">
        <v>61</v>
      </c>
      <c r="H66" s="15" t="s">
        <v>62</v>
      </c>
      <c r="I66" s="7" t="s">
        <v>63</v>
      </c>
    </row>
    <row r="67" customFormat="false" ht="42" hidden="false" customHeight="true" outlineLevel="0" collapsed="false">
      <c r="A67" s="7" t="s">
        <v>119</v>
      </c>
      <c r="B67" s="7" t="s">
        <v>59</v>
      </c>
      <c r="C67" s="14" t="n">
        <v>532533000</v>
      </c>
      <c r="D67" s="7" t="s">
        <v>12</v>
      </c>
      <c r="E67" s="7" t="s">
        <v>12</v>
      </c>
      <c r="F67" s="7" t="s">
        <v>60</v>
      </c>
      <c r="G67" s="7" t="s">
        <v>61</v>
      </c>
      <c r="H67" s="15" t="s">
        <v>62</v>
      </c>
      <c r="I67" s="7" t="s">
        <v>63</v>
      </c>
    </row>
    <row r="68" customFormat="false" ht="42" hidden="false" customHeight="true" outlineLevel="0" collapsed="false">
      <c r="A68" s="7" t="s">
        <v>119</v>
      </c>
      <c r="B68" s="7" t="s">
        <v>109</v>
      </c>
      <c r="C68" s="14" t="n">
        <v>427774000</v>
      </c>
      <c r="D68" s="7" t="s">
        <v>12</v>
      </c>
      <c r="E68" s="7" t="s">
        <v>12</v>
      </c>
      <c r="F68" s="7" t="s">
        <v>60</v>
      </c>
      <c r="G68" s="7" t="s">
        <v>61</v>
      </c>
      <c r="H68" s="15" t="s">
        <v>62</v>
      </c>
      <c r="I68" s="7" t="s">
        <v>63</v>
      </c>
    </row>
    <row r="69" customFormat="false" ht="42" hidden="false" customHeight="true" outlineLevel="0" collapsed="false">
      <c r="A69" s="7" t="s">
        <v>72</v>
      </c>
      <c r="B69" s="7" t="s">
        <v>101</v>
      </c>
      <c r="C69" s="14" t="n">
        <v>143567000</v>
      </c>
      <c r="D69" s="7" t="s">
        <v>12</v>
      </c>
      <c r="E69" s="7" t="s">
        <v>12</v>
      </c>
      <c r="F69" s="7" t="s">
        <v>60</v>
      </c>
      <c r="G69" s="7" t="s">
        <v>61</v>
      </c>
      <c r="H69" s="15" t="s">
        <v>62</v>
      </c>
      <c r="I69" s="7" t="s">
        <v>74</v>
      </c>
    </row>
    <row r="70" customFormat="false" ht="42" hidden="false" customHeight="true" outlineLevel="0" collapsed="false">
      <c r="A70" s="7" t="s">
        <v>75</v>
      </c>
      <c r="B70" s="7" t="s">
        <v>101</v>
      </c>
      <c r="C70" s="14" t="n">
        <v>17425000</v>
      </c>
      <c r="D70" s="7" t="s">
        <v>12</v>
      </c>
      <c r="E70" s="7" t="s">
        <v>12</v>
      </c>
      <c r="F70" s="7" t="s">
        <v>60</v>
      </c>
      <c r="G70" s="7" t="s">
        <v>61</v>
      </c>
      <c r="H70" s="15" t="s">
        <v>62</v>
      </c>
      <c r="I70" s="7" t="s">
        <v>74</v>
      </c>
    </row>
    <row r="71" customFormat="false" ht="42" hidden="false" customHeight="true" outlineLevel="0" collapsed="false">
      <c r="A71" s="7" t="s">
        <v>76</v>
      </c>
      <c r="B71" s="7" t="s">
        <v>101</v>
      </c>
      <c r="C71" s="14" t="n">
        <v>22511000</v>
      </c>
      <c r="D71" s="7" t="s">
        <v>12</v>
      </c>
      <c r="E71" s="7" t="s">
        <v>12</v>
      </c>
      <c r="F71" s="7" t="s">
        <v>60</v>
      </c>
      <c r="G71" s="7" t="s">
        <v>61</v>
      </c>
      <c r="H71" s="15" t="s">
        <v>62</v>
      </c>
      <c r="I71" s="7" t="s">
        <v>74</v>
      </c>
    </row>
    <row r="72" customFormat="false" ht="42" hidden="false" customHeight="true" outlineLevel="0" collapsed="false">
      <c r="A72" s="7" t="s">
        <v>120</v>
      </c>
      <c r="B72" s="7" t="s">
        <v>73</v>
      </c>
      <c r="C72" s="14" t="n">
        <v>-52493000</v>
      </c>
      <c r="D72" s="7" t="s">
        <v>12</v>
      </c>
      <c r="E72" s="7" t="s">
        <v>12</v>
      </c>
      <c r="F72" s="7" t="s">
        <v>60</v>
      </c>
      <c r="G72" s="7" t="s">
        <v>61</v>
      </c>
      <c r="H72" s="15" t="s">
        <v>62</v>
      </c>
      <c r="I72" s="7" t="s">
        <v>74</v>
      </c>
    </row>
    <row r="73" customFormat="false" ht="42" hidden="false" customHeight="true" outlineLevel="0" collapsed="false">
      <c r="A73" s="7" t="s">
        <v>120</v>
      </c>
      <c r="B73" s="7" t="s">
        <v>101</v>
      </c>
      <c r="C73" s="14" t="n">
        <v>-55453000</v>
      </c>
      <c r="D73" s="7" t="s">
        <v>12</v>
      </c>
      <c r="E73" s="7" t="s">
        <v>12</v>
      </c>
      <c r="F73" s="7" t="s">
        <v>60</v>
      </c>
      <c r="G73" s="7" t="s">
        <v>61</v>
      </c>
      <c r="H73" s="15" t="s">
        <v>62</v>
      </c>
      <c r="I73" s="7" t="s">
        <v>74</v>
      </c>
    </row>
    <row r="74" customFormat="false" ht="42" hidden="false" customHeight="true" outlineLevel="0" collapsed="false">
      <c r="A74" s="7" t="s">
        <v>121</v>
      </c>
      <c r="B74" s="7" t="s">
        <v>73</v>
      </c>
      <c r="C74" s="14" t="n">
        <v>-2868000</v>
      </c>
      <c r="D74" s="7" t="s">
        <v>12</v>
      </c>
      <c r="E74" s="7" t="s">
        <v>12</v>
      </c>
      <c r="F74" s="7" t="s">
        <v>60</v>
      </c>
      <c r="G74" s="7" t="s">
        <v>61</v>
      </c>
      <c r="H74" s="15" t="s">
        <v>62</v>
      </c>
      <c r="I74" s="7" t="s">
        <v>74</v>
      </c>
    </row>
    <row r="75" customFormat="false" ht="42" hidden="false" customHeight="true" outlineLevel="0" collapsed="false">
      <c r="A75" s="7" t="s">
        <v>121</v>
      </c>
      <c r="B75" s="7" t="s">
        <v>101</v>
      </c>
      <c r="C75" s="14" t="n">
        <v>-10512000</v>
      </c>
      <c r="D75" s="7" t="s">
        <v>12</v>
      </c>
      <c r="E75" s="7" t="s">
        <v>12</v>
      </c>
      <c r="F75" s="7" t="s">
        <v>60</v>
      </c>
      <c r="G75" s="7" t="s">
        <v>61</v>
      </c>
      <c r="H75" s="15" t="s">
        <v>62</v>
      </c>
      <c r="I75" s="7" t="s">
        <v>74</v>
      </c>
    </row>
    <row r="76" customFormat="false" ht="42" hidden="false" customHeight="true" outlineLevel="0" collapsed="false">
      <c r="A76" s="7" t="s">
        <v>122</v>
      </c>
      <c r="B76" s="7" t="s">
        <v>73</v>
      </c>
      <c r="C76" s="14" t="n">
        <v>72962000</v>
      </c>
      <c r="D76" s="7" t="s">
        <v>12</v>
      </c>
      <c r="E76" s="7" t="s">
        <v>12</v>
      </c>
      <c r="F76" s="7" t="s">
        <v>60</v>
      </c>
      <c r="G76" s="7" t="s">
        <v>61</v>
      </c>
      <c r="H76" s="15" t="s">
        <v>62</v>
      </c>
      <c r="I76" s="7" t="s">
        <v>74</v>
      </c>
    </row>
    <row r="77" customFormat="false" ht="42" hidden="false" customHeight="true" outlineLevel="0" collapsed="false">
      <c r="A77" s="7" t="s">
        <v>122</v>
      </c>
      <c r="B77" s="7" t="s">
        <v>101</v>
      </c>
      <c r="C77" s="14" t="n">
        <v>77602000</v>
      </c>
      <c r="D77" s="7" t="s">
        <v>12</v>
      </c>
      <c r="E77" s="7" t="s">
        <v>12</v>
      </c>
      <c r="F77" s="7" t="s">
        <v>60</v>
      </c>
      <c r="G77" s="7" t="s">
        <v>61</v>
      </c>
      <c r="H77" s="15" t="s">
        <v>62</v>
      </c>
      <c r="I77" s="7" t="s">
        <v>74</v>
      </c>
    </row>
    <row r="78" customFormat="false" ht="42" hidden="false" customHeight="true" outlineLevel="0" collapsed="false">
      <c r="A78" s="7" t="s">
        <v>123</v>
      </c>
      <c r="B78" s="7" t="s">
        <v>73</v>
      </c>
      <c r="C78" s="14" t="n">
        <v>220644000</v>
      </c>
      <c r="D78" s="7" t="s">
        <v>12</v>
      </c>
      <c r="E78" s="7" t="s">
        <v>12</v>
      </c>
      <c r="F78" s="7" t="s">
        <v>60</v>
      </c>
      <c r="G78" s="7" t="s">
        <v>61</v>
      </c>
      <c r="H78" s="15" t="s">
        <v>62</v>
      </c>
      <c r="I78" s="7" t="s">
        <v>74</v>
      </c>
    </row>
    <row r="79" customFormat="false" ht="42" hidden="false" customHeight="true" outlineLevel="0" collapsed="false">
      <c r="A79" s="7" t="s">
        <v>123</v>
      </c>
      <c r="B79" s="7" t="s">
        <v>101</v>
      </c>
      <c r="C79" s="14" t="n">
        <v>143042000</v>
      </c>
      <c r="D79" s="7" t="s">
        <v>12</v>
      </c>
      <c r="E79" s="7" t="s">
        <v>12</v>
      </c>
      <c r="F79" s="7" t="s">
        <v>60</v>
      </c>
      <c r="G79" s="7" t="s">
        <v>61</v>
      </c>
      <c r="H79" s="15" t="s">
        <v>62</v>
      </c>
      <c r="I79" s="7" t="s">
        <v>74</v>
      </c>
    </row>
    <row r="80" customFormat="false" ht="42" hidden="false" customHeight="true" outlineLevel="0" collapsed="false">
      <c r="A80" s="7" t="s">
        <v>99</v>
      </c>
      <c r="B80" s="7" t="s">
        <v>124</v>
      </c>
      <c r="C80" s="14" t="n">
        <v>147539000</v>
      </c>
      <c r="D80" s="7" t="s">
        <v>12</v>
      </c>
      <c r="E80" s="7" t="s">
        <v>12</v>
      </c>
      <c r="F80" s="7" t="s">
        <v>60</v>
      </c>
      <c r="G80" s="7" t="s">
        <v>68</v>
      </c>
      <c r="H80" s="15" t="s">
        <v>62</v>
      </c>
      <c r="I80" s="7" t="s">
        <v>125</v>
      </c>
    </row>
    <row r="81" customFormat="false" ht="42" hidden="false" customHeight="true" outlineLevel="0" collapsed="false">
      <c r="A81" s="7" t="s">
        <v>99</v>
      </c>
      <c r="B81" s="7" t="s">
        <v>126</v>
      </c>
      <c r="C81" s="14" t="n">
        <v>204729000</v>
      </c>
      <c r="D81" s="7" t="s">
        <v>12</v>
      </c>
      <c r="E81" s="7" t="s">
        <v>12</v>
      </c>
      <c r="F81" s="7" t="s">
        <v>60</v>
      </c>
      <c r="G81" s="7" t="s">
        <v>68</v>
      </c>
      <c r="H81" s="15" t="s">
        <v>62</v>
      </c>
      <c r="I81" s="7" t="s">
        <v>125</v>
      </c>
    </row>
    <row r="82" customFormat="false" ht="42" hidden="false" customHeight="true" outlineLevel="0" collapsed="false">
      <c r="A82" s="7" t="s">
        <v>102</v>
      </c>
      <c r="B82" s="7" t="s">
        <v>124</v>
      </c>
      <c r="C82" s="14" t="n">
        <v>83833000</v>
      </c>
      <c r="D82" s="7" t="s">
        <v>12</v>
      </c>
      <c r="E82" s="7" t="s">
        <v>12</v>
      </c>
      <c r="F82" s="7" t="s">
        <v>60</v>
      </c>
      <c r="G82" s="7" t="s">
        <v>68</v>
      </c>
      <c r="H82" s="15" t="s">
        <v>62</v>
      </c>
      <c r="I82" s="7" t="s">
        <v>125</v>
      </c>
    </row>
    <row r="83" customFormat="false" ht="42" hidden="false" customHeight="true" outlineLevel="0" collapsed="false">
      <c r="A83" s="7" t="s">
        <v>102</v>
      </c>
      <c r="B83" s="7" t="s">
        <v>126</v>
      </c>
      <c r="C83" s="14" t="n">
        <v>81387000</v>
      </c>
      <c r="D83" s="7" t="s">
        <v>12</v>
      </c>
      <c r="E83" s="7" t="s">
        <v>12</v>
      </c>
      <c r="F83" s="7" t="s">
        <v>60</v>
      </c>
      <c r="G83" s="7" t="s">
        <v>68</v>
      </c>
      <c r="H83" s="15" t="s">
        <v>62</v>
      </c>
      <c r="I83" s="7" t="s">
        <v>125</v>
      </c>
    </row>
    <row r="84" customFormat="false" ht="42" hidden="false" customHeight="true" outlineLevel="0" collapsed="false">
      <c r="A84" s="7" t="s">
        <v>103</v>
      </c>
      <c r="B84" s="7" t="s">
        <v>124</v>
      </c>
      <c r="C84" s="14" t="n">
        <v>63706000</v>
      </c>
      <c r="D84" s="7" t="s">
        <v>12</v>
      </c>
      <c r="E84" s="7" t="s">
        <v>12</v>
      </c>
      <c r="F84" s="7" t="s">
        <v>60</v>
      </c>
      <c r="G84" s="7" t="s">
        <v>68</v>
      </c>
      <c r="H84" s="15" t="s">
        <v>62</v>
      </c>
      <c r="I84" s="7" t="s">
        <v>125</v>
      </c>
    </row>
    <row r="85" customFormat="false" ht="42" hidden="false" customHeight="true" outlineLevel="0" collapsed="false">
      <c r="A85" s="7" t="s">
        <v>103</v>
      </c>
      <c r="B85" s="7" t="s">
        <v>126</v>
      </c>
      <c r="C85" s="14" t="n">
        <v>123342000</v>
      </c>
      <c r="D85" s="7" t="s">
        <v>12</v>
      </c>
      <c r="E85" s="7" t="s">
        <v>12</v>
      </c>
      <c r="F85" s="7" t="s">
        <v>60</v>
      </c>
      <c r="G85" s="7" t="s">
        <v>68</v>
      </c>
      <c r="H85" s="15" t="s">
        <v>62</v>
      </c>
      <c r="I85" s="7" t="s">
        <v>125</v>
      </c>
    </row>
    <row r="86" customFormat="false" ht="42" hidden="false" customHeight="true" outlineLevel="0" collapsed="false">
      <c r="A86" s="7" t="s">
        <v>106</v>
      </c>
      <c r="B86" s="7" t="s">
        <v>124</v>
      </c>
      <c r="C86" s="14" t="n">
        <v>73176000</v>
      </c>
      <c r="D86" s="7" t="s">
        <v>12</v>
      </c>
      <c r="E86" s="7" t="s">
        <v>12</v>
      </c>
      <c r="F86" s="7" t="s">
        <v>60</v>
      </c>
      <c r="G86" s="7" t="s">
        <v>68</v>
      </c>
      <c r="H86" s="15" t="s">
        <v>62</v>
      </c>
      <c r="I86" s="7" t="s">
        <v>125</v>
      </c>
    </row>
    <row r="87" customFormat="false" ht="42" hidden="false" customHeight="true" outlineLevel="0" collapsed="false">
      <c r="A87" s="7" t="s">
        <v>106</v>
      </c>
      <c r="B87" s="7" t="s">
        <v>126</v>
      </c>
      <c r="C87" s="14" t="n">
        <v>128601000</v>
      </c>
      <c r="D87" s="7" t="s">
        <v>12</v>
      </c>
      <c r="E87" s="7" t="s">
        <v>12</v>
      </c>
      <c r="F87" s="7" t="s">
        <v>60</v>
      </c>
      <c r="G87" s="7" t="s">
        <v>68</v>
      </c>
      <c r="H87" s="15" t="s">
        <v>62</v>
      </c>
      <c r="I87" s="7" t="s">
        <v>125</v>
      </c>
    </row>
    <row r="88" customFormat="false" ht="42" hidden="false" customHeight="true" outlineLevel="0" collapsed="false">
      <c r="A88" s="7" t="s">
        <v>107</v>
      </c>
      <c r="B88" s="7" t="s">
        <v>124</v>
      </c>
      <c r="C88" s="14" t="n">
        <v>20228000</v>
      </c>
      <c r="D88" s="7" t="s">
        <v>12</v>
      </c>
      <c r="E88" s="7" t="s">
        <v>12</v>
      </c>
      <c r="F88" s="7" t="s">
        <v>60</v>
      </c>
      <c r="G88" s="7" t="s">
        <v>68</v>
      </c>
      <c r="H88" s="15" t="s">
        <v>62</v>
      </c>
      <c r="I88" s="7" t="s">
        <v>125</v>
      </c>
    </row>
    <row r="89" customFormat="false" ht="42" hidden="false" customHeight="true" outlineLevel="0" collapsed="false">
      <c r="A89" s="7" t="s">
        <v>107</v>
      </c>
      <c r="B89" s="7" t="s">
        <v>126</v>
      </c>
      <c r="C89" s="14" t="n">
        <v>24696000</v>
      </c>
      <c r="D89" s="7" t="s">
        <v>12</v>
      </c>
      <c r="E89" s="7" t="s">
        <v>12</v>
      </c>
      <c r="F89" s="7" t="s">
        <v>60</v>
      </c>
      <c r="G89" s="7" t="s">
        <v>68</v>
      </c>
      <c r="H89" s="15" t="s">
        <v>62</v>
      </c>
      <c r="I89" s="7" t="s">
        <v>125</v>
      </c>
    </row>
    <row r="90" customFormat="false" ht="42" hidden="false" customHeight="true" outlineLevel="0" collapsed="false">
      <c r="A90" s="7" t="s">
        <v>108</v>
      </c>
      <c r="B90" s="7" t="s">
        <v>124</v>
      </c>
      <c r="C90" s="14" t="n">
        <v>52948000</v>
      </c>
      <c r="D90" s="7" t="s">
        <v>12</v>
      </c>
      <c r="E90" s="7" t="s">
        <v>12</v>
      </c>
      <c r="F90" s="7" t="s">
        <v>60</v>
      </c>
      <c r="G90" s="7" t="s">
        <v>68</v>
      </c>
      <c r="H90" s="15" t="s">
        <v>62</v>
      </c>
      <c r="I90" s="7" t="s">
        <v>125</v>
      </c>
    </row>
    <row r="91" customFormat="false" ht="42" hidden="false" customHeight="true" outlineLevel="0" collapsed="false">
      <c r="A91" s="7" t="s">
        <v>108</v>
      </c>
      <c r="B91" s="7" t="s">
        <v>126</v>
      </c>
      <c r="C91" s="14" t="n">
        <v>103905000</v>
      </c>
      <c r="D91" s="7" t="s">
        <v>12</v>
      </c>
      <c r="E91" s="7" t="s">
        <v>12</v>
      </c>
      <c r="F91" s="7" t="s">
        <v>60</v>
      </c>
      <c r="G91" s="7" t="s">
        <v>68</v>
      </c>
      <c r="H91" s="15" t="s">
        <v>62</v>
      </c>
      <c r="I91" s="7" t="s">
        <v>125</v>
      </c>
    </row>
    <row r="92" customFormat="false" ht="42" hidden="false" customHeight="true" outlineLevel="0" collapsed="false">
      <c r="A92" s="7" t="s">
        <v>72</v>
      </c>
      <c r="B92" s="7" t="s">
        <v>124</v>
      </c>
      <c r="C92" s="14" t="n">
        <v>64274000</v>
      </c>
      <c r="D92" s="7" t="s">
        <v>12</v>
      </c>
      <c r="E92" s="7" t="s">
        <v>12</v>
      </c>
      <c r="F92" s="7" t="s">
        <v>60</v>
      </c>
      <c r="G92" s="7" t="s">
        <v>68</v>
      </c>
      <c r="H92" s="15" t="s">
        <v>62</v>
      </c>
      <c r="I92" s="7" t="s">
        <v>127</v>
      </c>
    </row>
    <row r="93" customFormat="false" ht="42" hidden="false" customHeight="true" outlineLevel="0" collapsed="false">
      <c r="A93" s="7" t="s">
        <v>72</v>
      </c>
      <c r="B93" s="7" t="s">
        <v>126</v>
      </c>
      <c r="C93" s="14" t="n">
        <v>126515000</v>
      </c>
      <c r="D93" s="7" t="s">
        <v>12</v>
      </c>
      <c r="E93" s="7" t="s">
        <v>12</v>
      </c>
      <c r="F93" s="7" t="s">
        <v>60</v>
      </c>
      <c r="G93" s="7" t="s">
        <v>68</v>
      </c>
      <c r="H93" s="15" t="s">
        <v>62</v>
      </c>
      <c r="I93" s="7" t="s">
        <v>127</v>
      </c>
    </row>
    <row r="94" customFormat="false" ht="42" hidden="false" customHeight="true" outlineLevel="0" collapsed="false">
      <c r="A94" s="7" t="s">
        <v>75</v>
      </c>
      <c r="B94" s="7" t="s">
        <v>124</v>
      </c>
      <c r="C94" s="14" t="n">
        <v>2912000</v>
      </c>
      <c r="D94" s="7" t="s">
        <v>12</v>
      </c>
      <c r="E94" s="7" t="s">
        <v>12</v>
      </c>
      <c r="F94" s="7" t="s">
        <v>60</v>
      </c>
      <c r="G94" s="7" t="s">
        <v>68</v>
      </c>
      <c r="H94" s="15" t="s">
        <v>62</v>
      </c>
      <c r="I94" s="7" t="s">
        <v>127</v>
      </c>
    </row>
    <row r="95" customFormat="false" ht="42" hidden="false" customHeight="true" outlineLevel="0" collapsed="false">
      <c r="A95" s="7" t="s">
        <v>75</v>
      </c>
      <c r="B95" s="7" t="s">
        <v>126</v>
      </c>
      <c r="C95" s="14" t="n">
        <v>7879000</v>
      </c>
      <c r="D95" s="7" t="s">
        <v>12</v>
      </c>
      <c r="E95" s="7" t="s">
        <v>12</v>
      </c>
      <c r="F95" s="7" t="s">
        <v>60</v>
      </c>
      <c r="G95" s="7" t="s">
        <v>68</v>
      </c>
      <c r="H95" s="15" t="s">
        <v>62</v>
      </c>
      <c r="I95" s="7" t="s">
        <v>127</v>
      </c>
    </row>
    <row r="96" customFormat="false" ht="42" hidden="false" customHeight="true" outlineLevel="0" collapsed="false">
      <c r="A96" s="7" t="s">
        <v>76</v>
      </c>
      <c r="B96" s="7" t="s">
        <v>124</v>
      </c>
      <c r="C96" s="14" t="n">
        <v>13862000</v>
      </c>
      <c r="D96" s="7" t="s">
        <v>12</v>
      </c>
      <c r="E96" s="7" t="s">
        <v>12</v>
      </c>
      <c r="F96" s="7" t="s">
        <v>60</v>
      </c>
      <c r="G96" s="7" t="s">
        <v>68</v>
      </c>
      <c r="H96" s="15" t="s">
        <v>62</v>
      </c>
      <c r="I96" s="7" t="s">
        <v>127</v>
      </c>
    </row>
    <row r="97" customFormat="false" ht="42" hidden="false" customHeight="true" outlineLevel="0" collapsed="false">
      <c r="A97" s="7" t="s">
        <v>76</v>
      </c>
      <c r="B97" s="7" t="s">
        <v>126</v>
      </c>
      <c r="C97" s="14" t="n">
        <v>12450000</v>
      </c>
      <c r="D97" s="7" t="s">
        <v>12</v>
      </c>
      <c r="E97" s="7" t="s">
        <v>12</v>
      </c>
      <c r="F97" s="7" t="s">
        <v>60</v>
      </c>
      <c r="G97" s="7" t="s">
        <v>68</v>
      </c>
      <c r="H97" s="15" t="s">
        <v>62</v>
      </c>
      <c r="I97" s="7" t="s">
        <v>127</v>
      </c>
    </row>
    <row r="98" customFormat="false" ht="42" hidden="false" customHeight="true" outlineLevel="0" collapsed="false">
      <c r="A98" s="7" t="s">
        <v>120</v>
      </c>
      <c r="B98" s="7" t="s">
        <v>124</v>
      </c>
      <c r="C98" s="14" t="n">
        <v>-51758000</v>
      </c>
      <c r="D98" s="7" t="s">
        <v>12</v>
      </c>
      <c r="E98" s="7" t="s">
        <v>12</v>
      </c>
      <c r="F98" s="7" t="s">
        <v>60</v>
      </c>
      <c r="G98" s="7" t="s">
        <v>68</v>
      </c>
      <c r="H98" s="15" t="s">
        <v>62</v>
      </c>
      <c r="I98" s="7" t="s">
        <v>127</v>
      </c>
    </row>
    <row r="99" customFormat="false" ht="42" hidden="false" customHeight="true" outlineLevel="0" collapsed="false">
      <c r="A99" s="7" t="s">
        <v>120</v>
      </c>
      <c r="B99" s="7" t="s">
        <v>126</v>
      </c>
      <c r="C99" s="14" t="n">
        <v>-43937000</v>
      </c>
      <c r="D99" s="7" t="s">
        <v>12</v>
      </c>
      <c r="E99" s="7" t="s">
        <v>12</v>
      </c>
      <c r="F99" s="7" t="s">
        <v>60</v>
      </c>
      <c r="G99" s="7" t="s">
        <v>68</v>
      </c>
      <c r="H99" s="15" t="s">
        <v>62</v>
      </c>
      <c r="I99" s="7" t="s">
        <v>127</v>
      </c>
    </row>
    <row r="100" customFormat="false" ht="42" hidden="false" customHeight="true" outlineLevel="0" collapsed="false">
      <c r="A100" s="7" t="s">
        <v>121</v>
      </c>
      <c r="B100" s="7" t="s">
        <v>124</v>
      </c>
      <c r="C100" s="14" t="n">
        <v>-2282000</v>
      </c>
      <c r="D100" s="7" t="s">
        <v>12</v>
      </c>
      <c r="E100" s="7" t="s">
        <v>12</v>
      </c>
      <c r="F100" s="7" t="s">
        <v>60</v>
      </c>
      <c r="G100" s="7" t="s">
        <v>68</v>
      </c>
      <c r="H100" s="15" t="s">
        <v>62</v>
      </c>
      <c r="I100" s="7" t="s">
        <v>127</v>
      </c>
    </row>
    <row r="101" customFormat="false" ht="42" hidden="false" customHeight="true" outlineLevel="0" collapsed="false">
      <c r="A101" s="7" t="s">
        <v>121</v>
      </c>
      <c r="B101" s="7" t="s">
        <v>126</v>
      </c>
      <c r="C101" s="14" t="n">
        <v>-2186000</v>
      </c>
      <c r="D101" s="7" t="s">
        <v>12</v>
      </c>
      <c r="E101" s="7" t="s">
        <v>12</v>
      </c>
      <c r="F101" s="7" t="s">
        <v>60</v>
      </c>
      <c r="G101" s="7" t="s">
        <v>68</v>
      </c>
      <c r="H101" s="15" t="s">
        <v>62</v>
      </c>
      <c r="I101" s="7" t="s">
        <v>127</v>
      </c>
    </row>
    <row r="102" customFormat="false" ht="42" hidden="false" customHeight="true" outlineLevel="0" collapsed="false">
      <c r="A102" s="7" t="s">
        <v>122</v>
      </c>
      <c r="B102" s="7" t="s">
        <v>124</v>
      </c>
      <c r="C102" s="14" t="n">
        <v>10234000</v>
      </c>
      <c r="D102" s="7" t="s">
        <v>12</v>
      </c>
      <c r="E102" s="7" t="s">
        <v>12</v>
      </c>
      <c r="F102" s="7" t="s">
        <v>60</v>
      </c>
      <c r="G102" s="7" t="s">
        <v>68</v>
      </c>
      <c r="H102" s="15" t="s">
        <v>62</v>
      </c>
      <c r="I102" s="7" t="s">
        <v>127</v>
      </c>
    </row>
    <row r="103" customFormat="false" ht="42" hidden="false" customHeight="true" outlineLevel="0" collapsed="false">
      <c r="A103" s="7" t="s">
        <v>122</v>
      </c>
      <c r="B103" s="7" t="s">
        <v>126</v>
      </c>
      <c r="C103" s="14" t="n">
        <v>80392000</v>
      </c>
      <c r="D103" s="7" t="s">
        <v>12</v>
      </c>
      <c r="E103" s="7" t="s">
        <v>12</v>
      </c>
      <c r="F103" s="7" t="s">
        <v>60</v>
      </c>
      <c r="G103" s="7" t="s">
        <v>68</v>
      </c>
      <c r="H103" s="15" t="s">
        <v>62</v>
      </c>
      <c r="I103" s="7" t="s">
        <v>127</v>
      </c>
    </row>
    <row r="104" customFormat="false" ht="42" hidden="false" customHeight="true" outlineLevel="0" collapsed="false">
      <c r="A104" s="7" t="s">
        <v>123</v>
      </c>
      <c r="B104" s="7" t="s">
        <v>124</v>
      </c>
      <c r="C104" s="14" t="n">
        <v>220644000</v>
      </c>
      <c r="D104" s="7" t="s">
        <v>12</v>
      </c>
      <c r="E104" s="7" t="s">
        <v>12</v>
      </c>
      <c r="F104" s="7" t="s">
        <v>60</v>
      </c>
      <c r="G104" s="7" t="s">
        <v>68</v>
      </c>
      <c r="H104" s="15" t="s">
        <v>62</v>
      </c>
      <c r="I104" s="7" t="s">
        <v>127</v>
      </c>
    </row>
    <row r="105" customFormat="false" ht="42" hidden="false" customHeight="true" outlineLevel="0" collapsed="false">
      <c r="A105" s="7" t="s">
        <v>123</v>
      </c>
      <c r="B105" s="7" t="s">
        <v>126</v>
      </c>
      <c r="C105" s="14" t="n">
        <v>293606000</v>
      </c>
      <c r="D105" s="7" t="s">
        <v>12</v>
      </c>
      <c r="E105" s="7" t="s">
        <v>12</v>
      </c>
      <c r="F105" s="7" t="s">
        <v>60</v>
      </c>
      <c r="G105" s="7" t="s">
        <v>68</v>
      </c>
      <c r="H105" s="15" t="s">
        <v>62</v>
      </c>
      <c r="I105" s="7" t="s">
        <v>127</v>
      </c>
    </row>
    <row r="106" customFormat="false" ht="42" hidden="false" customHeight="true" outlineLevel="0" collapsed="false">
      <c r="A106" s="7" t="s">
        <v>64</v>
      </c>
      <c r="B106" s="7" t="s">
        <v>95</v>
      </c>
      <c r="C106" s="14" t="n">
        <v>1003000</v>
      </c>
      <c r="D106" s="7" t="s">
        <v>12</v>
      </c>
      <c r="E106" s="7" t="s">
        <v>12</v>
      </c>
      <c r="F106" s="7" t="s">
        <v>60</v>
      </c>
      <c r="G106" s="7" t="s">
        <v>68</v>
      </c>
      <c r="H106" s="15" t="s">
        <v>62</v>
      </c>
      <c r="I106" s="7" t="s">
        <v>96</v>
      </c>
    </row>
    <row r="107" customFormat="false" ht="42" hidden="false" customHeight="true" outlineLevel="0" collapsed="false">
      <c r="A107" s="7" t="s">
        <v>65</v>
      </c>
      <c r="B107" s="7" t="s">
        <v>95</v>
      </c>
      <c r="C107" s="14" t="n">
        <v>97000</v>
      </c>
      <c r="D107" s="7" t="s">
        <v>12</v>
      </c>
      <c r="E107" s="7" t="s">
        <v>12</v>
      </c>
      <c r="F107" s="7" t="s">
        <v>60</v>
      </c>
      <c r="G107" s="7" t="s">
        <v>68</v>
      </c>
      <c r="H107" s="15" t="s">
        <v>62</v>
      </c>
      <c r="I107" s="7" t="s">
        <v>96</v>
      </c>
    </row>
    <row r="108" customFormat="false" ht="42" hidden="false" customHeight="true" outlineLevel="0" collapsed="false">
      <c r="A108" s="7" t="s">
        <v>110</v>
      </c>
      <c r="B108" s="7" t="s">
        <v>95</v>
      </c>
      <c r="C108" s="14" t="n">
        <v>31961000</v>
      </c>
      <c r="D108" s="7" t="s">
        <v>12</v>
      </c>
      <c r="E108" s="7" t="s">
        <v>12</v>
      </c>
      <c r="F108" s="7" t="s">
        <v>60</v>
      </c>
      <c r="G108" s="7" t="s">
        <v>68</v>
      </c>
      <c r="H108" s="15" t="s">
        <v>62</v>
      </c>
      <c r="I108" s="7" t="s">
        <v>96</v>
      </c>
    </row>
    <row r="109" customFormat="false" ht="42" hidden="false" customHeight="true" outlineLevel="0" collapsed="false">
      <c r="A109" s="7" t="s">
        <v>111</v>
      </c>
      <c r="B109" s="7" t="s">
        <v>95</v>
      </c>
      <c r="C109" s="14" t="n">
        <v>29791000</v>
      </c>
      <c r="D109" s="7" t="s">
        <v>12</v>
      </c>
      <c r="E109" s="7" t="s">
        <v>12</v>
      </c>
      <c r="F109" s="7" t="s">
        <v>60</v>
      </c>
      <c r="G109" s="7" t="s">
        <v>68</v>
      </c>
      <c r="H109" s="15" t="s">
        <v>62</v>
      </c>
      <c r="I109" s="7" t="s">
        <v>96</v>
      </c>
    </row>
    <row r="110" customFormat="false" ht="42" hidden="false" customHeight="true" outlineLevel="0" collapsed="false">
      <c r="A110" s="7" t="s">
        <v>114</v>
      </c>
      <c r="B110" s="7" t="s">
        <v>95</v>
      </c>
      <c r="C110" s="14" t="n">
        <v>738759000</v>
      </c>
      <c r="D110" s="7" t="s">
        <v>12</v>
      </c>
      <c r="E110" s="7" t="s">
        <v>12</v>
      </c>
      <c r="F110" s="7" t="s">
        <v>60</v>
      </c>
      <c r="G110" s="7" t="s">
        <v>68</v>
      </c>
      <c r="H110" s="15" t="s">
        <v>62</v>
      </c>
      <c r="I110" s="7" t="s">
        <v>96</v>
      </c>
    </row>
    <row r="111" customFormat="false" ht="42" hidden="false" customHeight="true" outlineLevel="0" collapsed="false">
      <c r="A111" s="7" t="s">
        <v>118</v>
      </c>
      <c r="B111" s="7" t="s">
        <v>95</v>
      </c>
      <c r="C111" s="14" t="n">
        <v>102112000</v>
      </c>
      <c r="D111" s="7" t="s">
        <v>12</v>
      </c>
      <c r="E111" s="7" t="s">
        <v>12</v>
      </c>
      <c r="F111" s="7" t="s">
        <v>60</v>
      </c>
      <c r="G111" s="7" t="s">
        <v>68</v>
      </c>
      <c r="H111" s="15" t="s">
        <v>62</v>
      </c>
      <c r="I111" s="7" t="s">
        <v>96</v>
      </c>
    </row>
    <row r="112" customFormat="false" ht="42" hidden="false" customHeight="true" outlineLevel="0" collapsed="false">
      <c r="A112" s="7" t="s">
        <v>119</v>
      </c>
      <c r="B112" s="7" t="s">
        <v>95</v>
      </c>
      <c r="C112" s="14" t="n">
        <v>636647000</v>
      </c>
      <c r="D112" s="7" t="s">
        <v>12</v>
      </c>
      <c r="E112" s="7" t="s">
        <v>12</v>
      </c>
      <c r="F112" s="7" t="s">
        <v>60</v>
      </c>
      <c r="G112" s="7" t="s">
        <v>68</v>
      </c>
      <c r="H112" s="15" t="s">
        <v>62</v>
      </c>
      <c r="I112" s="7" t="s">
        <v>96</v>
      </c>
    </row>
    <row r="113" customFormat="false" ht="42" hidden="false" customHeight="true" outlineLevel="0" collapsed="false">
      <c r="A113" s="7" t="s">
        <v>128</v>
      </c>
      <c r="B113" s="7" t="s">
        <v>95</v>
      </c>
      <c r="C113" s="14" t="n">
        <v>16790000</v>
      </c>
      <c r="D113" s="7" t="s">
        <v>12</v>
      </c>
      <c r="E113" s="7" t="s">
        <v>12</v>
      </c>
      <c r="F113" s="7" t="s">
        <v>60</v>
      </c>
      <c r="G113" s="7" t="s">
        <v>68</v>
      </c>
      <c r="H113" s="15" t="s">
        <v>62</v>
      </c>
      <c r="I113" s="7" t="s">
        <v>69</v>
      </c>
    </row>
    <row r="114" customFormat="false" ht="42" hidden="false" customHeight="true" outlineLevel="0" collapsed="false">
      <c r="A114" s="7" t="s">
        <v>66</v>
      </c>
      <c r="B114" s="7" t="s">
        <v>95</v>
      </c>
      <c r="C114" s="14" t="n">
        <v>886392538</v>
      </c>
      <c r="D114" s="7" t="s">
        <v>16</v>
      </c>
      <c r="E114" s="7"/>
      <c r="F114" s="7" t="s">
        <v>60</v>
      </c>
      <c r="G114" s="7" t="s">
        <v>68</v>
      </c>
      <c r="H114" s="15" t="s">
        <v>62</v>
      </c>
      <c r="I114" s="7" t="s">
        <v>69</v>
      </c>
    </row>
    <row r="115" customFormat="false" ht="42" hidden="false" customHeight="true" outlineLevel="0" collapsed="false">
      <c r="A115" s="7" t="s">
        <v>77</v>
      </c>
      <c r="B115" s="7" t="s">
        <v>124</v>
      </c>
      <c r="C115" s="14" t="n">
        <v>5156</v>
      </c>
      <c r="D115" s="7" t="s">
        <v>78</v>
      </c>
      <c r="E115" s="7"/>
      <c r="F115" s="7" t="s">
        <v>129</v>
      </c>
      <c r="G115" s="7" t="s">
        <v>68</v>
      </c>
      <c r="H115" s="15" t="s">
        <v>62</v>
      </c>
      <c r="I115" s="7" t="s">
        <v>130</v>
      </c>
    </row>
    <row r="116" customFormat="false" ht="42" hidden="false" customHeight="true" outlineLevel="0" collapsed="false">
      <c r="A116" s="7" t="s">
        <v>77</v>
      </c>
      <c r="B116" s="7" t="s">
        <v>126</v>
      </c>
      <c r="C116" s="14" t="n">
        <v>5696</v>
      </c>
      <c r="D116" s="7" t="s">
        <v>78</v>
      </c>
      <c r="E116" s="7"/>
      <c r="F116" s="7" t="s">
        <v>129</v>
      </c>
      <c r="G116" s="7" t="s">
        <v>68</v>
      </c>
      <c r="H116" s="15" t="s">
        <v>62</v>
      </c>
      <c r="I116" s="7" t="s">
        <v>130</v>
      </c>
    </row>
    <row r="117" customFormat="false" ht="42" hidden="false" customHeight="true" outlineLevel="0" collapsed="false">
      <c r="A117" s="7" t="s">
        <v>99</v>
      </c>
      <c r="B117" s="7" t="s">
        <v>131</v>
      </c>
      <c r="C117" s="14" t="n">
        <v>153781000</v>
      </c>
      <c r="D117" s="7" t="s">
        <v>12</v>
      </c>
      <c r="E117" s="7" t="s">
        <v>12</v>
      </c>
      <c r="F117" s="7" t="s">
        <v>60</v>
      </c>
      <c r="G117" s="7" t="s">
        <v>132</v>
      </c>
      <c r="H117" s="15" t="s">
        <v>62</v>
      </c>
      <c r="I117" s="7" t="s">
        <v>133</v>
      </c>
    </row>
    <row r="118" customFormat="false" ht="42" hidden="false" customHeight="true" outlineLevel="0" collapsed="false">
      <c r="A118" s="7" t="s">
        <v>102</v>
      </c>
      <c r="B118" s="7" t="s">
        <v>131</v>
      </c>
      <c r="C118" s="14" t="n">
        <v>105155000</v>
      </c>
      <c r="D118" s="7" t="s">
        <v>12</v>
      </c>
      <c r="E118" s="7" t="s">
        <v>12</v>
      </c>
      <c r="F118" s="7" t="s">
        <v>60</v>
      </c>
      <c r="G118" s="7" t="s">
        <v>132</v>
      </c>
      <c r="H118" s="15" t="s">
        <v>62</v>
      </c>
      <c r="I118" s="7" t="s">
        <v>133</v>
      </c>
    </row>
    <row r="119" customFormat="false" ht="42" hidden="false" customHeight="true" outlineLevel="0" collapsed="false">
      <c r="A119" s="7" t="s">
        <v>103</v>
      </c>
      <c r="B119" s="7" t="s">
        <v>131</v>
      </c>
      <c r="C119" s="14" t="n">
        <v>48626000</v>
      </c>
      <c r="D119" s="7" t="s">
        <v>12</v>
      </c>
      <c r="E119" s="7" t="s">
        <v>12</v>
      </c>
      <c r="F119" s="7" t="s">
        <v>60</v>
      </c>
      <c r="G119" s="7" t="s">
        <v>132</v>
      </c>
      <c r="H119" s="15" t="s">
        <v>62</v>
      </c>
      <c r="I119" s="7" t="s">
        <v>133</v>
      </c>
    </row>
    <row r="120" customFormat="false" ht="42" hidden="false" customHeight="true" outlineLevel="0" collapsed="false">
      <c r="A120" s="7" t="s">
        <v>108</v>
      </c>
      <c r="B120" s="7" t="s">
        <v>131</v>
      </c>
      <c r="C120" s="14" t="n">
        <v>14585000</v>
      </c>
      <c r="D120" s="7" t="s">
        <v>12</v>
      </c>
      <c r="E120" s="7" t="s">
        <v>12</v>
      </c>
      <c r="F120" s="7" t="s">
        <v>60</v>
      </c>
      <c r="G120" s="7" t="s">
        <v>132</v>
      </c>
      <c r="H120" s="15" t="s">
        <v>62</v>
      </c>
      <c r="I120" s="7" t="s">
        <v>133</v>
      </c>
    </row>
    <row r="121" customFormat="false" ht="42" hidden="false" customHeight="true" outlineLevel="0" collapsed="false">
      <c r="A121" s="7" t="s">
        <v>72</v>
      </c>
      <c r="B121" s="7" t="s">
        <v>131</v>
      </c>
      <c r="C121" s="14" t="n">
        <v>64860000</v>
      </c>
      <c r="D121" s="7" t="s">
        <v>12</v>
      </c>
      <c r="E121" s="7" t="s">
        <v>12</v>
      </c>
      <c r="F121" s="7" t="s">
        <v>60</v>
      </c>
      <c r="G121" s="7" t="s">
        <v>132</v>
      </c>
      <c r="H121" s="15" t="s">
        <v>62</v>
      </c>
      <c r="I121" s="7" t="s">
        <v>100</v>
      </c>
    </row>
    <row r="122" customFormat="false" ht="42" hidden="false" customHeight="true" outlineLevel="0" collapsed="false">
      <c r="A122" s="7" t="s">
        <v>75</v>
      </c>
      <c r="B122" s="7" t="s">
        <v>131</v>
      </c>
      <c r="C122" s="14" t="n">
        <v>13035000</v>
      </c>
      <c r="D122" s="7" t="s">
        <v>12</v>
      </c>
      <c r="E122" s="7" t="s">
        <v>12</v>
      </c>
      <c r="F122" s="7" t="s">
        <v>60</v>
      </c>
      <c r="G122" s="7" t="s">
        <v>132</v>
      </c>
      <c r="H122" s="15" t="s">
        <v>62</v>
      </c>
      <c r="I122" s="7" t="s">
        <v>100</v>
      </c>
    </row>
    <row r="123" customFormat="false" ht="42" hidden="false" customHeight="true" outlineLevel="0" collapsed="false">
      <c r="A123" s="7" t="s">
        <v>76</v>
      </c>
      <c r="B123" s="7" t="s">
        <v>131</v>
      </c>
      <c r="C123" s="14" t="n">
        <v>21891000</v>
      </c>
      <c r="D123" s="7" t="s">
        <v>12</v>
      </c>
      <c r="E123" s="7" t="s">
        <v>12</v>
      </c>
      <c r="F123" s="7" t="s">
        <v>60</v>
      </c>
      <c r="G123" s="7" t="s">
        <v>132</v>
      </c>
      <c r="H123" s="15" t="s">
        <v>62</v>
      </c>
      <c r="I123" s="7" t="s">
        <v>100</v>
      </c>
    </row>
    <row r="124" customFormat="false" ht="42" hidden="false" customHeight="true" outlineLevel="0" collapsed="false">
      <c r="A124" s="7" t="s">
        <v>120</v>
      </c>
      <c r="B124" s="7" t="s">
        <v>131</v>
      </c>
      <c r="C124" s="14" t="n">
        <v>-32650000</v>
      </c>
      <c r="D124" s="7" t="s">
        <v>12</v>
      </c>
      <c r="E124" s="7" t="s">
        <v>12</v>
      </c>
      <c r="F124" s="7" t="s">
        <v>60</v>
      </c>
      <c r="G124" s="7" t="s">
        <v>132</v>
      </c>
      <c r="H124" s="15" t="s">
        <v>62</v>
      </c>
      <c r="I124" s="7" t="s">
        <v>100</v>
      </c>
    </row>
    <row r="125" customFormat="false" ht="42" hidden="false" customHeight="true" outlineLevel="0" collapsed="false">
      <c r="A125" s="7" t="s">
        <v>121</v>
      </c>
      <c r="B125" s="7" t="s">
        <v>131</v>
      </c>
      <c r="C125" s="14" t="n">
        <v>-3097000</v>
      </c>
      <c r="D125" s="7" t="s">
        <v>12</v>
      </c>
      <c r="E125" s="7" t="s">
        <v>12</v>
      </c>
      <c r="F125" s="7" t="s">
        <v>60</v>
      </c>
      <c r="G125" s="7" t="s">
        <v>132</v>
      </c>
      <c r="H125" s="15" t="s">
        <v>62</v>
      </c>
      <c r="I125" s="7" t="s">
        <v>100</v>
      </c>
    </row>
    <row r="126" customFormat="false" ht="42" hidden="false" customHeight="true" outlineLevel="0" collapsed="false">
      <c r="A126" s="7" t="s">
        <v>123</v>
      </c>
      <c r="B126" s="7" t="s">
        <v>131</v>
      </c>
      <c r="C126" s="14" t="n">
        <v>113929000</v>
      </c>
      <c r="D126" s="7" t="s">
        <v>12</v>
      </c>
      <c r="E126" s="7" t="s">
        <v>12</v>
      </c>
      <c r="F126" s="7" t="s">
        <v>60</v>
      </c>
      <c r="G126" s="7" t="s">
        <v>132</v>
      </c>
      <c r="H126" s="15" t="s">
        <v>62</v>
      </c>
      <c r="I126" s="7" t="s">
        <v>100</v>
      </c>
    </row>
    <row r="127" customFormat="false" ht="42" hidden="false" customHeight="true" outlineLevel="0" collapsed="false">
      <c r="A127" s="7" t="s">
        <v>58</v>
      </c>
      <c r="B127" s="7" t="s">
        <v>134</v>
      </c>
      <c r="C127" s="14" t="n">
        <v>143042000</v>
      </c>
      <c r="D127" s="7" t="s">
        <v>12</v>
      </c>
      <c r="E127" s="7" t="s">
        <v>12</v>
      </c>
      <c r="F127" s="7" t="s">
        <v>60</v>
      </c>
      <c r="G127" s="7" t="s">
        <v>132</v>
      </c>
      <c r="H127" s="15" t="s">
        <v>62</v>
      </c>
      <c r="I127" s="7" t="s">
        <v>135</v>
      </c>
    </row>
    <row r="128" customFormat="false" ht="42" hidden="false" customHeight="true" outlineLevel="0" collapsed="false">
      <c r="A128" s="7" t="s">
        <v>77</v>
      </c>
      <c r="B128" s="7" t="s">
        <v>136</v>
      </c>
      <c r="C128" s="14" t="n">
        <v>2899</v>
      </c>
      <c r="D128" s="7" t="s">
        <v>31</v>
      </c>
      <c r="E128" s="7"/>
      <c r="F128" s="7" t="s">
        <v>79</v>
      </c>
      <c r="G128" s="7" t="s">
        <v>137</v>
      </c>
      <c r="H128" s="15" t="s">
        <v>62</v>
      </c>
      <c r="I128" s="7" t="s">
        <v>84</v>
      </c>
    </row>
    <row r="129" customFormat="false" ht="42" hidden="false" customHeight="true" outlineLevel="0" collapsed="false">
      <c r="A129" s="7" t="s">
        <v>86</v>
      </c>
      <c r="B129" s="7" t="s">
        <v>136</v>
      </c>
      <c r="C129" s="14" t="n">
        <v>47219</v>
      </c>
      <c r="D129" s="7" t="s">
        <v>33</v>
      </c>
      <c r="E129" s="7" t="s">
        <v>12</v>
      </c>
      <c r="F129" s="7" t="s">
        <v>79</v>
      </c>
      <c r="G129" s="7" t="s">
        <v>137</v>
      </c>
      <c r="H129" s="15" t="s">
        <v>62</v>
      </c>
      <c r="I129" s="7" t="s">
        <v>84</v>
      </c>
    </row>
    <row r="130" customFormat="false" ht="42" hidden="false" customHeight="true" outlineLevel="0" collapsed="false">
      <c r="A130" s="7" t="s">
        <v>88</v>
      </c>
      <c r="B130" s="7" t="s">
        <v>136</v>
      </c>
      <c r="C130" s="14" t="n">
        <v>16192</v>
      </c>
      <c r="D130" s="7" t="s">
        <v>33</v>
      </c>
      <c r="E130" s="7" t="s">
        <v>12</v>
      </c>
      <c r="F130" s="7" t="s">
        <v>79</v>
      </c>
      <c r="G130" s="7" t="s">
        <v>137</v>
      </c>
      <c r="H130" s="15" t="s">
        <v>62</v>
      </c>
      <c r="I130" s="7" t="s">
        <v>84</v>
      </c>
    </row>
    <row r="131" customFormat="false" ht="42" hidden="false" customHeight="true" outlineLevel="0" collapsed="false">
      <c r="A131" s="7" t="s">
        <v>138</v>
      </c>
      <c r="B131" s="7" t="s">
        <v>136</v>
      </c>
      <c r="C131" s="14" t="n">
        <v>2.36</v>
      </c>
      <c r="D131" s="7" t="s">
        <v>139</v>
      </c>
      <c r="E131" s="7"/>
      <c r="F131" s="7" t="s">
        <v>79</v>
      </c>
      <c r="G131" s="7" t="s">
        <v>137</v>
      </c>
      <c r="H131" s="15" t="s">
        <v>62</v>
      </c>
      <c r="I131" s="7" t="s">
        <v>84</v>
      </c>
    </row>
    <row r="132" customFormat="false" ht="42" hidden="false" customHeight="true" outlineLevel="0" collapsed="false">
      <c r="A132" s="7" t="s">
        <v>140</v>
      </c>
      <c r="B132" s="7" t="s">
        <v>136</v>
      </c>
      <c r="C132" s="14" t="n">
        <v>78.96</v>
      </c>
      <c r="D132" s="7" t="s">
        <v>139</v>
      </c>
      <c r="E132" s="7"/>
      <c r="F132" s="7" t="s">
        <v>79</v>
      </c>
      <c r="G132" s="7" t="s">
        <v>137</v>
      </c>
      <c r="H132" s="15" t="s">
        <v>62</v>
      </c>
      <c r="I132" s="7" t="s">
        <v>84</v>
      </c>
    </row>
    <row r="133" customFormat="false" ht="42" hidden="false" customHeight="true" outlineLevel="0" collapsed="false">
      <c r="A133" s="7" t="s">
        <v>77</v>
      </c>
      <c r="B133" s="7" t="s">
        <v>141</v>
      </c>
      <c r="C133" s="14" t="n">
        <v>3329</v>
      </c>
      <c r="D133" s="7" t="s">
        <v>31</v>
      </c>
      <c r="E133" s="7"/>
      <c r="F133" s="7" t="s">
        <v>79</v>
      </c>
      <c r="G133" s="7" t="s">
        <v>137</v>
      </c>
      <c r="H133" s="15" t="s">
        <v>62</v>
      </c>
      <c r="I133" s="7" t="s">
        <v>84</v>
      </c>
    </row>
    <row r="134" customFormat="false" ht="42" hidden="false" customHeight="true" outlineLevel="0" collapsed="false">
      <c r="A134" s="7" t="s">
        <v>86</v>
      </c>
      <c r="B134" s="7" t="s">
        <v>141</v>
      </c>
      <c r="C134" s="14" t="n">
        <v>46961</v>
      </c>
      <c r="D134" s="7" t="s">
        <v>33</v>
      </c>
      <c r="E134" s="7" t="s">
        <v>12</v>
      </c>
      <c r="F134" s="7" t="s">
        <v>79</v>
      </c>
      <c r="G134" s="7" t="s">
        <v>137</v>
      </c>
      <c r="H134" s="15" t="s">
        <v>62</v>
      </c>
      <c r="I134" s="7" t="s">
        <v>84</v>
      </c>
    </row>
    <row r="135" customFormat="false" ht="42" hidden="false" customHeight="true" outlineLevel="0" collapsed="false">
      <c r="A135" s="7" t="s">
        <v>88</v>
      </c>
      <c r="B135" s="7" t="s">
        <v>141</v>
      </c>
      <c r="C135" s="14" t="n">
        <v>16282</v>
      </c>
      <c r="D135" s="7" t="s">
        <v>33</v>
      </c>
      <c r="E135" s="7" t="s">
        <v>12</v>
      </c>
      <c r="F135" s="7" t="s">
        <v>79</v>
      </c>
      <c r="G135" s="7" t="s">
        <v>137</v>
      </c>
      <c r="H135" s="15" t="s">
        <v>62</v>
      </c>
      <c r="I135" s="7" t="s">
        <v>84</v>
      </c>
    </row>
    <row r="136" customFormat="false" ht="42" hidden="false" customHeight="true" outlineLevel="0" collapsed="false">
      <c r="A136" s="7" t="s">
        <v>138</v>
      </c>
      <c r="B136" s="7" t="s">
        <v>141</v>
      </c>
      <c r="C136" s="14" t="n">
        <v>2.27</v>
      </c>
      <c r="D136" s="7" t="s">
        <v>139</v>
      </c>
      <c r="E136" s="7"/>
      <c r="F136" s="7" t="s">
        <v>79</v>
      </c>
      <c r="G136" s="7" t="s">
        <v>137</v>
      </c>
      <c r="H136" s="15" t="s">
        <v>62</v>
      </c>
      <c r="I136" s="7" t="s">
        <v>84</v>
      </c>
    </row>
    <row r="137" customFormat="false" ht="42" hidden="false" customHeight="true" outlineLevel="0" collapsed="false">
      <c r="A137" s="7" t="s">
        <v>140</v>
      </c>
      <c r="B137" s="7" t="s">
        <v>141</v>
      </c>
      <c r="C137" s="14" t="n">
        <v>81.16</v>
      </c>
      <c r="D137" s="7" t="s">
        <v>139</v>
      </c>
      <c r="E137" s="7"/>
      <c r="F137" s="7" t="s">
        <v>79</v>
      </c>
      <c r="G137" s="7" t="s">
        <v>137</v>
      </c>
      <c r="H137" s="15" t="s">
        <v>62</v>
      </c>
      <c r="I137" s="7" t="s">
        <v>84</v>
      </c>
    </row>
    <row r="138" customFormat="false" ht="42" hidden="false" customHeight="true" outlineLevel="0" collapsed="false">
      <c r="A138" s="7" t="s">
        <v>77</v>
      </c>
      <c r="B138" s="7" t="s">
        <v>142</v>
      </c>
      <c r="C138" s="14" t="n">
        <v>2432</v>
      </c>
      <c r="D138" s="7" t="s">
        <v>31</v>
      </c>
      <c r="E138" s="7"/>
      <c r="F138" s="7" t="s">
        <v>79</v>
      </c>
      <c r="G138" s="7" t="s">
        <v>143</v>
      </c>
      <c r="H138" s="15" t="s">
        <v>62</v>
      </c>
      <c r="I138" s="7" t="s">
        <v>84</v>
      </c>
    </row>
    <row r="139" customFormat="false" ht="42" hidden="false" customHeight="true" outlineLevel="0" collapsed="false">
      <c r="A139" s="7" t="s">
        <v>86</v>
      </c>
      <c r="B139" s="7" t="s">
        <v>142</v>
      </c>
      <c r="C139" s="14" t="n">
        <v>50603</v>
      </c>
      <c r="D139" s="7" t="s">
        <v>33</v>
      </c>
      <c r="E139" s="7" t="s">
        <v>12</v>
      </c>
      <c r="F139" s="7" t="s">
        <v>79</v>
      </c>
      <c r="G139" s="7" t="s">
        <v>143</v>
      </c>
      <c r="H139" s="15" t="s">
        <v>62</v>
      </c>
      <c r="I139" s="7" t="s">
        <v>84</v>
      </c>
    </row>
    <row r="140" customFormat="false" ht="42" hidden="false" customHeight="true" outlineLevel="0" collapsed="false">
      <c r="A140" s="7" t="s">
        <v>88</v>
      </c>
      <c r="B140" s="7" t="s">
        <v>142</v>
      </c>
      <c r="C140" s="14" t="n">
        <v>20597</v>
      </c>
      <c r="D140" s="7" t="s">
        <v>33</v>
      </c>
      <c r="E140" s="7" t="s">
        <v>12</v>
      </c>
      <c r="F140" s="7" t="s">
        <v>79</v>
      </c>
      <c r="G140" s="7" t="s">
        <v>143</v>
      </c>
      <c r="H140" s="15" t="s">
        <v>62</v>
      </c>
      <c r="I140" s="7" t="s">
        <v>84</v>
      </c>
    </row>
    <row r="141" customFormat="false" ht="42" hidden="false" customHeight="true" outlineLevel="0" collapsed="false">
      <c r="A141" s="7" t="s">
        <v>138</v>
      </c>
      <c r="B141" s="7" t="s">
        <v>142</v>
      </c>
      <c r="C141" s="14" t="n">
        <v>1.89</v>
      </c>
      <c r="D141" s="7" t="s">
        <v>139</v>
      </c>
      <c r="E141" s="7"/>
      <c r="F141" s="7" t="s">
        <v>79</v>
      </c>
      <c r="G141" s="7" t="s">
        <v>143</v>
      </c>
      <c r="H141" s="15" t="s">
        <v>62</v>
      </c>
      <c r="I141" s="7" t="s">
        <v>84</v>
      </c>
    </row>
    <row r="142" customFormat="false" ht="42" hidden="false" customHeight="true" outlineLevel="0" collapsed="false">
      <c r="A142" s="7" t="s">
        <v>140</v>
      </c>
      <c r="B142" s="7" t="s">
        <v>142</v>
      </c>
      <c r="C142" s="14" t="n">
        <v>80.08</v>
      </c>
      <c r="D142" s="7" t="s">
        <v>139</v>
      </c>
      <c r="E142" s="7"/>
      <c r="F142" s="7" t="s">
        <v>79</v>
      </c>
      <c r="G142" s="7" t="s">
        <v>143</v>
      </c>
      <c r="H142" s="15" t="s">
        <v>62</v>
      </c>
      <c r="I142" s="7" t="s">
        <v>84</v>
      </c>
    </row>
    <row r="143" customFormat="false" ht="42" hidden="false" customHeight="true" outlineLevel="0" collapsed="false">
      <c r="A143" s="7" t="s">
        <v>77</v>
      </c>
      <c r="B143" s="7" t="s">
        <v>144</v>
      </c>
      <c r="C143" s="14" t="n">
        <v>2724</v>
      </c>
      <c r="D143" s="7" t="s">
        <v>31</v>
      </c>
      <c r="E143" s="7"/>
      <c r="F143" s="7" t="s">
        <v>79</v>
      </c>
      <c r="G143" s="7" t="s">
        <v>143</v>
      </c>
      <c r="H143" s="15" t="s">
        <v>62</v>
      </c>
      <c r="I143" s="7" t="s">
        <v>84</v>
      </c>
    </row>
    <row r="144" customFormat="false" ht="42" hidden="false" customHeight="true" outlineLevel="0" collapsed="false">
      <c r="A144" s="7" t="s">
        <v>86</v>
      </c>
      <c r="B144" s="7" t="s">
        <v>144</v>
      </c>
      <c r="C144" s="14" t="n">
        <v>50088</v>
      </c>
      <c r="D144" s="7" t="s">
        <v>33</v>
      </c>
      <c r="E144" s="7" t="s">
        <v>12</v>
      </c>
      <c r="F144" s="7" t="s">
        <v>79</v>
      </c>
      <c r="G144" s="7" t="s">
        <v>143</v>
      </c>
      <c r="H144" s="15" t="s">
        <v>62</v>
      </c>
      <c r="I144" s="7" t="s">
        <v>84</v>
      </c>
    </row>
    <row r="145" customFormat="false" ht="42" hidden="false" customHeight="true" outlineLevel="0" collapsed="false">
      <c r="A145" s="7" t="s">
        <v>88</v>
      </c>
      <c r="B145" s="7" t="s">
        <v>144</v>
      </c>
      <c r="C145" s="14" t="n">
        <v>18769</v>
      </c>
      <c r="D145" s="7" t="s">
        <v>33</v>
      </c>
      <c r="E145" s="7" t="s">
        <v>12</v>
      </c>
      <c r="F145" s="7" t="s">
        <v>79</v>
      </c>
      <c r="G145" s="7" t="s">
        <v>143</v>
      </c>
      <c r="H145" s="15" t="s">
        <v>62</v>
      </c>
      <c r="I145" s="7" t="s">
        <v>84</v>
      </c>
    </row>
    <row r="146" customFormat="false" ht="42" hidden="false" customHeight="true" outlineLevel="0" collapsed="false">
      <c r="A146" s="7" t="s">
        <v>138</v>
      </c>
      <c r="B146" s="7" t="s">
        <v>144</v>
      </c>
      <c r="C146" s="14" t="n">
        <v>1.84</v>
      </c>
      <c r="D146" s="7" t="s">
        <v>139</v>
      </c>
      <c r="E146" s="7"/>
      <c r="F146" s="7" t="s">
        <v>79</v>
      </c>
      <c r="G146" s="7" t="s">
        <v>143</v>
      </c>
      <c r="H146" s="15" t="s">
        <v>62</v>
      </c>
      <c r="I146" s="7" t="s">
        <v>84</v>
      </c>
    </row>
    <row r="147" customFormat="false" ht="42" hidden="false" customHeight="true" outlineLevel="0" collapsed="false">
      <c r="A147" s="7" t="s">
        <v>140</v>
      </c>
      <c r="B147" s="7" t="s">
        <v>144</v>
      </c>
      <c r="C147" s="14" t="n">
        <v>80.53</v>
      </c>
      <c r="D147" s="7" t="s">
        <v>139</v>
      </c>
      <c r="E147" s="7"/>
      <c r="F147" s="7" t="s">
        <v>79</v>
      </c>
      <c r="G147" s="7" t="s">
        <v>143</v>
      </c>
      <c r="H147" s="15" t="s">
        <v>62</v>
      </c>
      <c r="I147" s="7" t="s">
        <v>84</v>
      </c>
    </row>
    <row r="148" customFormat="false" ht="42" hidden="false" customHeight="true" outlineLevel="0" collapsed="false">
      <c r="A148" s="7" t="s">
        <v>77</v>
      </c>
      <c r="B148" s="7" t="s">
        <v>145</v>
      </c>
      <c r="C148" s="14" t="n">
        <v>2272</v>
      </c>
      <c r="D148" s="7" t="s">
        <v>31</v>
      </c>
      <c r="E148" s="7"/>
      <c r="F148" s="7" t="s">
        <v>79</v>
      </c>
      <c r="G148" s="7" t="s">
        <v>146</v>
      </c>
      <c r="H148" s="15" t="s">
        <v>62</v>
      </c>
      <c r="I148" s="7" t="s">
        <v>84</v>
      </c>
    </row>
    <row r="149" customFormat="false" ht="42" hidden="false" customHeight="true" outlineLevel="0" collapsed="false">
      <c r="A149" s="7" t="s">
        <v>86</v>
      </c>
      <c r="B149" s="7" t="s">
        <v>145</v>
      </c>
      <c r="C149" s="14" t="n">
        <v>52024</v>
      </c>
      <c r="D149" s="7" t="s">
        <v>33</v>
      </c>
      <c r="E149" s="7" t="s">
        <v>12</v>
      </c>
      <c r="F149" s="7" t="s">
        <v>79</v>
      </c>
      <c r="G149" s="7" t="s">
        <v>146</v>
      </c>
      <c r="H149" s="15" t="s">
        <v>62</v>
      </c>
      <c r="I149" s="7" t="s">
        <v>84</v>
      </c>
    </row>
    <row r="150" customFormat="false" ht="42" hidden="false" customHeight="true" outlineLevel="0" collapsed="false">
      <c r="A150" s="7" t="s">
        <v>88</v>
      </c>
      <c r="B150" s="7" t="s">
        <v>145</v>
      </c>
      <c r="C150" s="14" t="n">
        <v>23138</v>
      </c>
      <c r="D150" s="7" t="s">
        <v>33</v>
      </c>
      <c r="E150" s="7" t="s">
        <v>12</v>
      </c>
      <c r="F150" s="7" t="s">
        <v>79</v>
      </c>
      <c r="G150" s="7" t="s">
        <v>146</v>
      </c>
      <c r="H150" s="15" t="s">
        <v>62</v>
      </c>
      <c r="I150" s="7" t="s">
        <v>84</v>
      </c>
    </row>
    <row r="151" customFormat="false" ht="42" hidden="false" customHeight="true" outlineLevel="0" collapsed="false">
      <c r="A151" s="7" t="s">
        <v>138</v>
      </c>
      <c r="B151" s="7" t="s">
        <v>145</v>
      </c>
      <c r="C151" s="14" t="n">
        <v>1.85</v>
      </c>
      <c r="D151" s="7" t="s">
        <v>139</v>
      </c>
      <c r="E151" s="7"/>
      <c r="F151" s="7" t="s">
        <v>79</v>
      </c>
      <c r="G151" s="7" t="s">
        <v>146</v>
      </c>
      <c r="H151" s="15" t="s">
        <v>62</v>
      </c>
      <c r="I151" s="7" t="s">
        <v>84</v>
      </c>
    </row>
    <row r="152" customFormat="false" ht="42" hidden="false" customHeight="true" outlineLevel="0" collapsed="false">
      <c r="A152" s="7" t="s">
        <v>140</v>
      </c>
      <c r="B152" s="7" t="s">
        <v>145</v>
      </c>
      <c r="C152" s="14" t="n">
        <v>76.39</v>
      </c>
      <c r="D152" s="7" t="s">
        <v>139</v>
      </c>
      <c r="E152" s="7"/>
      <c r="F152" s="7" t="s">
        <v>79</v>
      </c>
      <c r="G152" s="7" t="s">
        <v>146</v>
      </c>
      <c r="H152" s="15" t="s">
        <v>62</v>
      </c>
      <c r="I152" s="7" t="s">
        <v>84</v>
      </c>
    </row>
    <row r="153" customFormat="false" ht="42" hidden="false" customHeight="true" outlineLevel="0" collapsed="false">
      <c r="A153" s="7" t="s">
        <v>77</v>
      </c>
      <c r="B153" s="7" t="s">
        <v>147</v>
      </c>
      <c r="C153" s="14" t="n">
        <v>3319</v>
      </c>
      <c r="D153" s="7" t="s">
        <v>31</v>
      </c>
      <c r="E153" s="7"/>
      <c r="F153" s="7" t="s">
        <v>79</v>
      </c>
      <c r="G153" s="7" t="s">
        <v>146</v>
      </c>
      <c r="H153" s="15" t="s">
        <v>62</v>
      </c>
      <c r="I153" s="7" t="s">
        <v>84</v>
      </c>
    </row>
    <row r="154" customFormat="false" ht="42" hidden="false" customHeight="true" outlineLevel="0" collapsed="false">
      <c r="A154" s="7" t="s">
        <v>86</v>
      </c>
      <c r="B154" s="7" t="s">
        <v>147</v>
      </c>
      <c r="C154" s="14" t="n">
        <v>58086</v>
      </c>
      <c r="D154" s="7" t="s">
        <v>33</v>
      </c>
      <c r="E154" s="7" t="s">
        <v>12</v>
      </c>
      <c r="F154" s="7" t="s">
        <v>79</v>
      </c>
      <c r="G154" s="7" t="s">
        <v>146</v>
      </c>
      <c r="H154" s="15" t="s">
        <v>62</v>
      </c>
      <c r="I154" s="7" t="s">
        <v>84</v>
      </c>
    </row>
    <row r="155" customFormat="false" ht="42" hidden="false" customHeight="true" outlineLevel="0" collapsed="false">
      <c r="A155" s="7" t="s">
        <v>88</v>
      </c>
      <c r="B155" s="7" t="s">
        <v>147</v>
      </c>
      <c r="C155" s="14" t="n">
        <v>16598</v>
      </c>
      <c r="D155" s="7" t="s">
        <v>33</v>
      </c>
      <c r="E155" s="7" t="s">
        <v>12</v>
      </c>
      <c r="F155" s="7" t="s">
        <v>79</v>
      </c>
      <c r="G155" s="7" t="s">
        <v>146</v>
      </c>
      <c r="H155" s="15" t="s">
        <v>62</v>
      </c>
      <c r="I155" s="7" t="s">
        <v>84</v>
      </c>
    </row>
    <row r="156" customFormat="false" ht="42" hidden="false" customHeight="true" outlineLevel="0" collapsed="false">
      <c r="A156" s="7" t="s">
        <v>138</v>
      </c>
      <c r="B156" s="7" t="s">
        <v>147</v>
      </c>
      <c r="C156" s="14" t="n">
        <v>2.48</v>
      </c>
      <c r="D156" s="7" t="s">
        <v>139</v>
      </c>
      <c r="E156" s="7"/>
      <c r="F156" s="7" t="s">
        <v>79</v>
      </c>
      <c r="G156" s="7" t="s">
        <v>146</v>
      </c>
      <c r="H156" s="15" t="s">
        <v>62</v>
      </c>
      <c r="I156" s="7" t="s">
        <v>84</v>
      </c>
    </row>
    <row r="157" customFormat="false" ht="42" hidden="false" customHeight="true" outlineLevel="0" collapsed="false">
      <c r="A157" s="7" t="s">
        <v>140</v>
      </c>
      <c r="B157" s="7" t="s">
        <v>147</v>
      </c>
      <c r="C157" s="14" t="n">
        <v>82.34</v>
      </c>
      <c r="D157" s="7" t="s">
        <v>139</v>
      </c>
      <c r="E157" s="7"/>
      <c r="F157" s="7" t="s">
        <v>79</v>
      </c>
      <c r="G157" s="7" t="s">
        <v>146</v>
      </c>
      <c r="H157" s="15" t="s">
        <v>62</v>
      </c>
      <c r="I157" s="7" t="s">
        <v>84</v>
      </c>
    </row>
    <row r="158" customFormat="false" ht="42" hidden="false" customHeight="true" outlineLevel="0" collapsed="false">
      <c r="A158" s="7" t="s">
        <v>77</v>
      </c>
      <c r="B158" s="7" t="s">
        <v>148</v>
      </c>
      <c r="C158" s="14" t="n">
        <v>2887</v>
      </c>
      <c r="D158" s="7" t="s">
        <v>31</v>
      </c>
      <c r="E158" s="7"/>
      <c r="F158" s="7" t="s">
        <v>79</v>
      </c>
      <c r="G158" s="7" t="s">
        <v>83</v>
      </c>
      <c r="H158" s="15" t="s">
        <v>62</v>
      </c>
      <c r="I158" s="7" t="s">
        <v>84</v>
      </c>
    </row>
    <row r="159" customFormat="false" ht="42" hidden="false" customHeight="true" outlineLevel="0" collapsed="false">
      <c r="A159" s="7" t="s">
        <v>86</v>
      </c>
      <c r="B159" s="7" t="s">
        <v>148</v>
      </c>
      <c r="C159" s="14" t="n">
        <v>69726</v>
      </c>
      <c r="D159" s="7" t="s">
        <v>33</v>
      </c>
      <c r="E159" s="7" t="s">
        <v>12</v>
      </c>
      <c r="F159" s="7" t="s">
        <v>79</v>
      </c>
      <c r="G159" s="7" t="s">
        <v>83</v>
      </c>
      <c r="H159" s="15" t="s">
        <v>62</v>
      </c>
      <c r="I159" s="7" t="s">
        <v>84</v>
      </c>
    </row>
    <row r="160" customFormat="false" ht="42" hidden="false" customHeight="true" outlineLevel="0" collapsed="false">
      <c r="A160" s="7" t="s">
        <v>88</v>
      </c>
      <c r="B160" s="7" t="s">
        <v>148</v>
      </c>
      <c r="C160" s="14" t="n">
        <v>18653</v>
      </c>
      <c r="D160" s="7" t="s">
        <v>33</v>
      </c>
      <c r="E160" s="7" t="s">
        <v>12</v>
      </c>
      <c r="F160" s="7" t="s">
        <v>79</v>
      </c>
      <c r="G160" s="7" t="s">
        <v>83</v>
      </c>
      <c r="H160" s="15" t="s">
        <v>62</v>
      </c>
      <c r="I160" s="7" t="s">
        <v>84</v>
      </c>
    </row>
    <row r="161" customFormat="false" ht="42" hidden="false" customHeight="true" outlineLevel="0" collapsed="false">
      <c r="A161" s="7" t="s">
        <v>138</v>
      </c>
      <c r="B161" s="7" t="s">
        <v>148</v>
      </c>
      <c r="C161" s="14" t="n">
        <v>2.24</v>
      </c>
      <c r="D161" s="7" t="s">
        <v>139</v>
      </c>
      <c r="E161" s="7"/>
      <c r="F161" s="7" t="s">
        <v>79</v>
      </c>
      <c r="G161" s="7" t="s">
        <v>83</v>
      </c>
      <c r="H161" s="15" t="s">
        <v>62</v>
      </c>
      <c r="I161" s="7" t="s">
        <v>84</v>
      </c>
    </row>
    <row r="162" customFormat="false" ht="42" hidden="false" customHeight="true" outlineLevel="0" collapsed="false">
      <c r="A162" s="7" t="s">
        <v>140</v>
      </c>
      <c r="B162" s="7" t="s">
        <v>148</v>
      </c>
      <c r="C162" s="14" t="n">
        <v>80.35</v>
      </c>
      <c r="D162" s="7" t="s">
        <v>139</v>
      </c>
      <c r="E162" s="7"/>
      <c r="F162" s="7" t="s">
        <v>79</v>
      </c>
      <c r="G162" s="7" t="s">
        <v>83</v>
      </c>
      <c r="H162" s="15" t="s">
        <v>62</v>
      </c>
      <c r="I162" s="7" t="s">
        <v>84</v>
      </c>
    </row>
    <row r="163" customFormat="false" ht="42" hidden="false" customHeight="true" outlineLevel="0" collapsed="false">
      <c r="A163" s="7" t="s">
        <v>138</v>
      </c>
      <c r="B163" s="7" t="s">
        <v>82</v>
      </c>
      <c r="C163" s="14" t="n">
        <v>1.95</v>
      </c>
      <c r="D163" s="7" t="s">
        <v>139</v>
      </c>
      <c r="E163" s="7"/>
      <c r="F163" s="7" t="s">
        <v>79</v>
      </c>
      <c r="G163" s="7" t="s">
        <v>83</v>
      </c>
      <c r="H163" s="15" t="s">
        <v>62</v>
      </c>
      <c r="I163" s="7" t="s">
        <v>84</v>
      </c>
    </row>
    <row r="164" customFormat="false" ht="42" hidden="false" customHeight="true" outlineLevel="0" collapsed="false">
      <c r="A164" s="7" t="s">
        <v>140</v>
      </c>
      <c r="B164" s="7" t="s">
        <v>82</v>
      </c>
      <c r="C164" s="14" t="n">
        <v>78.55</v>
      </c>
      <c r="D164" s="7" t="s">
        <v>139</v>
      </c>
      <c r="E164" s="7"/>
      <c r="F164" s="7" t="s">
        <v>79</v>
      </c>
      <c r="G164" s="7" t="s">
        <v>83</v>
      </c>
      <c r="H164" s="15" t="s">
        <v>62</v>
      </c>
      <c r="I164" s="7" t="s">
        <v>84</v>
      </c>
    </row>
  </sheetData>
  <autoFilter ref="A6:I164"/>
  <mergeCells count="2">
    <mergeCell ref="A1:I2"/>
    <mergeCell ref="A4:I4"/>
  </mergeCells>
  <hyperlinks>
    <hyperlink ref="H7" r:id="rId1" location="page=25" display="Open source report"/>
    <hyperlink ref="H8" r:id="rId2" location="page=25" display="Open source report"/>
    <hyperlink ref="H9" r:id="rId3" location="page=25" display="Open source report"/>
    <hyperlink ref="H10" r:id="rId4" location="page=27" display="Open source report"/>
    <hyperlink ref="H11" r:id="rId5" location="page=60" display="Open source report"/>
    <hyperlink ref="H12" r:id="rId6" location="page=26" display="Open source report"/>
    <hyperlink ref="H13" r:id="rId7" location="page=26" display="Open source report"/>
    <hyperlink ref="H14" r:id="rId8" location="page=26" display="Open source report"/>
    <hyperlink ref="H15" r:id="rId9" location="page=9" display="Open source report"/>
    <hyperlink ref="H16" r:id="rId10" location="page=2" display="Open source report"/>
    <hyperlink ref="H17" r:id="rId11" location="page=2" display="Open source report"/>
    <hyperlink ref="H18" r:id="rId12" location="page=2" display="Open source report"/>
    <hyperlink ref="H19" r:id="rId13" location="page=2" display="Open source report"/>
    <hyperlink ref="H20" r:id="rId14" location="page=2" display="Open source report"/>
    <hyperlink ref="H21" r:id="rId15" location="page=2" display="Open source report"/>
    <hyperlink ref="H22" r:id="rId16" location="page=2" display="Open source report"/>
    <hyperlink ref="H23" r:id="rId17" location="page=2" display="Open source report"/>
    <hyperlink ref="H24" r:id="rId18" location="page=2" display="Open source report"/>
    <hyperlink ref="H25" r:id="rId19" location="page=3" display="Open source report"/>
    <hyperlink ref="H26" r:id="rId20" location="page=3" display="Open source report"/>
    <hyperlink ref="H27" r:id="rId21" location="page=3" display="Open source report"/>
    <hyperlink ref="H28" r:id="rId22" location="page=16" display="Open source report"/>
    <hyperlink ref="H29" r:id="rId23" location="page=8" display="Open source report"/>
    <hyperlink ref="H30" r:id="rId24" location="page=24" display="Open source report"/>
    <hyperlink ref="H31" r:id="rId25" location="page=24" display="Open source report"/>
    <hyperlink ref="H32" r:id="rId26" location="page=24" display="Open source report"/>
    <hyperlink ref="H33" r:id="rId27" location="page=24" display="Open source report"/>
    <hyperlink ref="H34" r:id="rId28" location="page=24" display="Open source report"/>
    <hyperlink ref="H35" r:id="rId29" location="page=24" display="Open source report"/>
    <hyperlink ref="H36" r:id="rId30" location="page=24" display="Open source report"/>
    <hyperlink ref="H37" r:id="rId31" location="page=24" display="Open source report"/>
    <hyperlink ref="H38" r:id="rId32" location="page=24" display="Open source report"/>
    <hyperlink ref="H39" r:id="rId33" location="page=24" display="Open source report"/>
    <hyperlink ref="H40" r:id="rId34" location="page=24" display="Open source report"/>
    <hyperlink ref="H41" r:id="rId35" location="page=24" display="Open source report"/>
    <hyperlink ref="H42" r:id="rId36" location="page=24" display="Open source report"/>
    <hyperlink ref="H43" r:id="rId37" location="page=24" display="Open source report"/>
    <hyperlink ref="H44" r:id="rId38" location="page=24" display="Open source report"/>
    <hyperlink ref="H45" r:id="rId39" location="page=24" display="Open source report"/>
    <hyperlink ref="H46" r:id="rId40" location="page=25" display="Open source report"/>
    <hyperlink ref="H47" r:id="rId41" location="page=25" display="Open source report"/>
    <hyperlink ref="H48" r:id="rId42" location="page=25" display="Open source report"/>
    <hyperlink ref="H49" r:id="rId43" location="page=25" display="Open source report"/>
    <hyperlink ref="H50" r:id="rId44" location="page=25" display="Open source report"/>
    <hyperlink ref="H51" r:id="rId45" location="page=25" display="Open source report"/>
    <hyperlink ref="H52" r:id="rId46" location="page=25" display="Open source report"/>
    <hyperlink ref="H53" r:id="rId47" location="page=25" display="Open source report"/>
    <hyperlink ref="H54" r:id="rId48" location="page=25" display="Open source report"/>
    <hyperlink ref="H55" r:id="rId49" location="page=25" display="Open source report"/>
    <hyperlink ref="H56" r:id="rId50" location="page=25" display="Open source report"/>
    <hyperlink ref="H57" r:id="rId51" location="page=25" display="Open source report"/>
    <hyperlink ref="H58" r:id="rId52" location="page=25" display="Open source report"/>
    <hyperlink ref="H59" r:id="rId53" location="page=25" display="Open source report"/>
    <hyperlink ref="H60" r:id="rId54" location="page=25" display="Open source report"/>
    <hyperlink ref="H61" r:id="rId55" location="page=25" display="Open source report"/>
    <hyperlink ref="H62" r:id="rId56" location="page=25" display="Open source report"/>
    <hyperlink ref="H63" r:id="rId57" location="page=25" display="Open source report"/>
    <hyperlink ref="H64" r:id="rId58" location="page=25" display="Open source report"/>
    <hyperlink ref="H65" r:id="rId59" location="page=25" display="Open source report"/>
    <hyperlink ref="H66" r:id="rId60" location="page=25" display="Open source report"/>
    <hyperlink ref="H67" r:id="rId61" location="page=25" display="Open source report"/>
    <hyperlink ref="H68" r:id="rId62" location="page=25" display="Open source report"/>
    <hyperlink ref="H69" r:id="rId63" location="page=26" display="Open source report"/>
    <hyperlink ref="H70" r:id="rId64" location="page=26" display="Open source report"/>
    <hyperlink ref="H71" r:id="rId65" location="page=26" display="Open source report"/>
    <hyperlink ref="H72" r:id="rId66" location="page=26" display="Open source report"/>
    <hyperlink ref="H73" r:id="rId67" location="page=26" display="Open source report"/>
    <hyperlink ref="H74" r:id="rId68" location="page=26" display="Open source report"/>
    <hyperlink ref="H75" r:id="rId69" location="page=26" display="Open source report"/>
    <hyperlink ref="H76" r:id="rId70" location="page=26" display="Open source report"/>
    <hyperlink ref="H77" r:id="rId71" location="page=26" display="Open source report"/>
    <hyperlink ref="H78" r:id="rId72" location="page=26" display="Open source report"/>
    <hyperlink ref="H79" r:id="rId73" location="page=26" display="Open source report"/>
    <hyperlink ref="H80" r:id="rId74" location="page=15" display="Open source report"/>
    <hyperlink ref="H81" r:id="rId75" location="page=15" display="Open source report"/>
    <hyperlink ref="H82" r:id="rId76" location="page=15" display="Open source report"/>
    <hyperlink ref="H83" r:id="rId77" location="page=15" display="Open source report"/>
    <hyperlink ref="H84" r:id="rId78" location="page=15" display="Open source report"/>
    <hyperlink ref="H85" r:id="rId79" location="page=15" display="Open source report"/>
    <hyperlink ref="H86" r:id="rId80" location="page=15" display="Open source report"/>
    <hyperlink ref="H87" r:id="rId81" location="page=15" display="Open source report"/>
    <hyperlink ref="H88" r:id="rId82" location="page=15" display="Open source report"/>
    <hyperlink ref="H89" r:id="rId83" location="page=15" display="Open source report"/>
    <hyperlink ref="H90" r:id="rId84" location="page=15" display="Open source report"/>
    <hyperlink ref="H91" r:id="rId85" location="page=15" display="Open source report"/>
    <hyperlink ref="H92" r:id="rId86" location="page=17" display="Open source report"/>
    <hyperlink ref="H93" r:id="rId87" location="page=17" display="Open source report"/>
    <hyperlink ref="H94" r:id="rId88" location="page=17" display="Open source report"/>
    <hyperlink ref="H95" r:id="rId89" location="page=17" display="Open source report"/>
    <hyperlink ref="H96" r:id="rId90" location="page=17" display="Open source report"/>
    <hyperlink ref="H97" r:id="rId91" location="page=17" display="Open source report"/>
    <hyperlink ref="H98" r:id="rId92" location="page=17" display="Open source report"/>
    <hyperlink ref="H99" r:id="rId93" location="page=17" display="Open source report"/>
    <hyperlink ref="H100" r:id="rId94" location="page=17" display="Open source report"/>
    <hyperlink ref="H101" r:id="rId95" location="page=17" display="Open source report"/>
    <hyperlink ref="H102" r:id="rId96" location="page=17" display="Open source report"/>
    <hyperlink ref="H103" r:id="rId97" location="page=17" display="Open source report"/>
    <hyperlink ref="H104" r:id="rId98" location="page=17" display="Open source report"/>
    <hyperlink ref="H105" r:id="rId99" location="page=17" display="Open source report"/>
    <hyperlink ref="H106" r:id="rId100" location="page=16" display="Open source report"/>
    <hyperlink ref="H107" r:id="rId101" location="page=16" display="Open source report"/>
    <hyperlink ref="H108" r:id="rId102" location="page=16" display="Open source report"/>
    <hyperlink ref="H109" r:id="rId103" location="page=16" display="Open source report"/>
    <hyperlink ref="H110" r:id="rId104" location="page=16" display="Open source report"/>
    <hyperlink ref="H111" r:id="rId105" location="page=16" display="Open source report"/>
    <hyperlink ref="H112" r:id="rId106" location="page=16" display="Open source report"/>
    <hyperlink ref="H113" r:id="rId107" location="page=27" display="Open source report"/>
    <hyperlink ref="H114" r:id="rId108" location="page=27" display="Open source report"/>
    <hyperlink ref="H115" r:id="rId109" location="page=7" display="Open source report"/>
    <hyperlink ref="H116" r:id="rId110" location="page=7" display="Open source report"/>
    <hyperlink ref="H117" r:id="rId111" location="page=22" display="Open source report"/>
    <hyperlink ref="H118" r:id="rId112" location="page=22" display="Open source report"/>
    <hyperlink ref="H119" r:id="rId113" location="page=22" display="Open source report"/>
    <hyperlink ref="H120" r:id="rId114" location="page=22" display="Open source report"/>
    <hyperlink ref="H121" r:id="rId115" location="page=24" display="Open source report"/>
    <hyperlink ref="H122" r:id="rId116" location="page=24" display="Open source report"/>
    <hyperlink ref="H123" r:id="rId117" location="page=24" display="Open source report"/>
    <hyperlink ref="H124" r:id="rId118" location="page=24" display="Open source report"/>
    <hyperlink ref="H125" r:id="rId119" location="page=24" display="Open source report"/>
    <hyperlink ref="H126" r:id="rId120" location="page=24" display="Open source report"/>
    <hyperlink ref="H127" r:id="rId121" location="page=23" display="Open source report"/>
    <hyperlink ref="H128" r:id="rId122" location="page=2" display="Open source report"/>
    <hyperlink ref="H129" r:id="rId123" location="page=2" display="Open source report"/>
    <hyperlink ref="H130" r:id="rId124" location="page=2" display="Open source report"/>
    <hyperlink ref="H131" r:id="rId125" location="page=2" display="Open source report"/>
    <hyperlink ref="H132" r:id="rId126" location="page=2" display="Open source report"/>
    <hyperlink ref="H133" r:id="rId127" location="page=2" display="Open source report"/>
    <hyperlink ref="H134" r:id="rId128" location="page=2" display="Open source report"/>
    <hyperlink ref="H135" r:id="rId129" location="page=2" display="Open source report"/>
    <hyperlink ref="H136" r:id="rId130" location="page=2" display="Open source report"/>
    <hyperlink ref="H137" r:id="rId131" location="page=2" display="Open source report"/>
    <hyperlink ref="H138" r:id="rId132" location="page=2" display="Open source report"/>
    <hyperlink ref="H139" r:id="rId133" location="page=2" display="Open source report"/>
    <hyperlink ref="H140" r:id="rId134" location="page=2" display="Open source report"/>
    <hyperlink ref="H141" r:id="rId135" location="page=2" display="Open source report"/>
    <hyperlink ref="H142" r:id="rId136" location="page=2" display="Open source report"/>
    <hyperlink ref="H143" r:id="rId137" location="page=2" display="Open source report"/>
    <hyperlink ref="H144" r:id="rId138" location="page=2" display="Open source report"/>
    <hyperlink ref="H145" r:id="rId139" location="page=2" display="Open source report"/>
    <hyperlink ref="H146" r:id="rId140" location="page=2" display="Open source report"/>
    <hyperlink ref="H147" r:id="rId141" location="page=2" display="Open source report"/>
    <hyperlink ref="H148" r:id="rId142" location="page=2" display="Open source report"/>
    <hyperlink ref="H149" r:id="rId143" location="page=2" display="Open source report"/>
    <hyperlink ref="H150" r:id="rId144" location="page=2" display="Open source report"/>
    <hyperlink ref="H151" r:id="rId145" location="page=2" display="Open source report"/>
    <hyperlink ref="H152" r:id="rId146" location="page=2" display="Open source report"/>
    <hyperlink ref="H153" r:id="rId147" location="page=2" display="Open source report"/>
    <hyperlink ref="H154" r:id="rId148" location="page=2" display="Open source report"/>
    <hyperlink ref="H155" r:id="rId149" location="page=2" display="Open source report"/>
    <hyperlink ref="H156" r:id="rId150" location="page=2" display="Open source report"/>
    <hyperlink ref="H157" r:id="rId151" location="page=2" display="Open source report"/>
    <hyperlink ref="H158" r:id="rId152" location="page=2" display="Open source report"/>
    <hyperlink ref="H159" r:id="rId153" location="page=2" display="Open source report"/>
    <hyperlink ref="H160" r:id="rId154" location="page=2" display="Open source report"/>
    <hyperlink ref="H161" r:id="rId155" location="page=2" display="Open source report"/>
    <hyperlink ref="H162" r:id="rId156" location="page=2" display="Open source report"/>
    <hyperlink ref="H163" r:id="rId157" location="page=2" display="Open source report"/>
    <hyperlink ref="H164" r:id="rId158" location="page=2" display="Open source report"/>
  </hyperlink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Historical&amp;RPage &amp;P of &amp;N</oddFooter>
  </headerFooter>
  <drawing r:id="rId1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5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43.71"/>
    <col collapsed="false" customWidth="true" hidden="false" outlineLevel="0" max="3" min="2" style="0" width="18.71"/>
    <col collapsed="false" customWidth="true" hidden="false" outlineLevel="0" max="4" min="4" style="0" width="17.71"/>
    <col collapsed="false" customWidth="true" hidden="false" outlineLevel="0" max="9" min="5" style="0" width="8.71"/>
  </cols>
  <sheetData>
    <row r="1" customFormat="false" ht="22.5" hidden="false" customHeight="true" outlineLevel="0" collapsed="false">
      <c r="A1" s="1" t="s">
        <v>149</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4" hidden="false" customHeight="true" outlineLevel="0" collapsed="false">
      <c r="A4" s="2" t="s">
        <v>150</v>
      </c>
      <c r="B4" s="2"/>
      <c r="C4" s="2"/>
      <c r="D4" s="2"/>
      <c r="E4" s="2"/>
      <c r="F4" s="2"/>
      <c r="G4" s="2"/>
      <c r="H4" s="2"/>
      <c r="I4" s="2"/>
    </row>
    <row r="6" customFormat="false" ht="22.5" hidden="false" customHeight="true" outlineLevel="0" collapsed="false">
      <c r="A6" s="8" t="s">
        <v>151</v>
      </c>
      <c r="B6" s="8" t="s">
        <v>124</v>
      </c>
      <c r="C6" s="8" t="s">
        <v>126</v>
      </c>
      <c r="D6" s="8" t="s">
        <v>152</v>
      </c>
    </row>
    <row r="7" customFormat="false" ht="22.5" hidden="false" customHeight="true" outlineLevel="0" collapsed="false">
      <c r="A7" s="7" t="s">
        <v>99</v>
      </c>
      <c r="B7" s="16" t="n">
        <f aca="false">Historical!C80/1000000</f>
        <v>147.539</v>
      </c>
      <c r="C7" s="16" t="n">
        <f aca="false">Historical!C81/1000000</f>
        <v>204.729</v>
      </c>
      <c r="D7" s="14" t="n">
        <f aca="false">C7-B7</f>
        <v>57.19</v>
      </c>
    </row>
    <row r="8" customFormat="false" ht="22.5" hidden="false" customHeight="true" outlineLevel="0" collapsed="false">
      <c r="A8" s="7" t="s">
        <v>103</v>
      </c>
      <c r="B8" s="16" t="n">
        <f aca="false">Historical!C84/1000000</f>
        <v>63.706</v>
      </c>
      <c r="C8" s="16" t="n">
        <f aca="false">Historical!C85/1000000</f>
        <v>123.342</v>
      </c>
      <c r="D8" s="14" t="n">
        <f aca="false">C8-B8</f>
        <v>59.636</v>
      </c>
    </row>
    <row r="9" customFormat="false" ht="22.5" hidden="false" customHeight="true" outlineLevel="0" collapsed="false">
      <c r="A9" s="7" t="s">
        <v>106</v>
      </c>
      <c r="B9" s="16" t="n">
        <f aca="false">Historical!C86/1000000</f>
        <v>73.176</v>
      </c>
      <c r="C9" s="16" t="n">
        <f aca="false">Historical!C87/1000000</f>
        <v>128.601</v>
      </c>
      <c r="D9" s="14" t="n">
        <f aca="false">C9-B9</f>
        <v>55.425</v>
      </c>
    </row>
    <row r="10" customFormat="false" ht="22.5" hidden="false" customHeight="true" outlineLevel="0" collapsed="false">
      <c r="A10" s="7" t="s">
        <v>107</v>
      </c>
      <c r="B10" s="16" t="n">
        <f aca="false">Historical!C88/1000000</f>
        <v>20.228</v>
      </c>
      <c r="C10" s="16" t="n">
        <f aca="false">Historical!C89/1000000</f>
        <v>24.696</v>
      </c>
      <c r="D10" s="14" t="n">
        <f aca="false">C10-B10</f>
        <v>4.468</v>
      </c>
    </row>
    <row r="11" customFormat="false" ht="22.5" hidden="false" customHeight="true" outlineLevel="0" collapsed="false">
      <c r="A11" s="7" t="s">
        <v>153</v>
      </c>
      <c r="B11" s="16" t="n">
        <f aca="false">Historical!C90/1000000</f>
        <v>52.948</v>
      </c>
      <c r="C11" s="16" t="n">
        <f aca="false">Historical!C91/1000000</f>
        <v>103.905</v>
      </c>
      <c r="D11" s="14" t="n">
        <f aca="false">C11-B11</f>
        <v>50.957</v>
      </c>
    </row>
    <row r="12" customFormat="false" ht="22.5" hidden="false" customHeight="true" outlineLevel="0" collapsed="false">
      <c r="A12" s="7" t="s">
        <v>154</v>
      </c>
      <c r="B12" s="16" t="n">
        <f aca="false">Historical!C92/1000000</f>
        <v>64.274</v>
      </c>
      <c r="C12" s="16" t="n">
        <f aca="false">Historical!C93/1000000</f>
        <v>126.515</v>
      </c>
      <c r="D12" s="14" t="n">
        <f aca="false">C12-B12</f>
        <v>62.241</v>
      </c>
    </row>
    <row r="13" customFormat="false" ht="22.5" hidden="false" customHeight="true" outlineLevel="0" collapsed="false">
      <c r="A13" s="7" t="s">
        <v>155</v>
      </c>
      <c r="B13" s="16" t="n">
        <f aca="false">Historical!C94/1000000</f>
        <v>2.912</v>
      </c>
      <c r="C13" s="16" t="n">
        <f aca="false">Historical!C95/1000000</f>
        <v>7.879</v>
      </c>
      <c r="D13" s="14" t="n">
        <f aca="false">C13-B13</f>
        <v>4.967</v>
      </c>
    </row>
    <row r="14" customFormat="false" ht="22.5" hidden="false" customHeight="true" outlineLevel="0" collapsed="false">
      <c r="A14" s="7" t="s">
        <v>156</v>
      </c>
      <c r="B14" s="16" t="n">
        <f aca="false">Historical!C96/1000000</f>
        <v>13.862</v>
      </c>
      <c r="C14" s="16" t="n">
        <f aca="false">Historical!C97/1000000</f>
        <v>12.45</v>
      </c>
      <c r="D14" s="14" t="n">
        <f aca="false">C14-B14</f>
        <v>-1.412</v>
      </c>
    </row>
    <row r="15" customFormat="false" ht="22.5" hidden="false" customHeight="true" outlineLevel="0" collapsed="false">
      <c r="A15" s="7" t="s">
        <v>157</v>
      </c>
      <c r="B15" s="16" t="n">
        <f aca="false">Historical!C98/1000000</f>
        <v>-51.758</v>
      </c>
      <c r="C15" s="16" t="n">
        <f aca="false">Historical!C99/1000000</f>
        <v>-43.937</v>
      </c>
      <c r="D15" s="14" t="n">
        <f aca="false">C15-B15</f>
        <v>7.82100000000001</v>
      </c>
    </row>
    <row r="16" customFormat="false" ht="22.5" hidden="false" customHeight="true" outlineLevel="0" collapsed="false">
      <c r="A16" s="7" t="s">
        <v>158</v>
      </c>
      <c r="B16" s="16" t="n">
        <f aca="false">Historical!C100/1000000</f>
        <v>-2.282</v>
      </c>
      <c r="C16" s="16" t="n">
        <f aca="false">Historical!C101/1000000</f>
        <v>-2.186</v>
      </c>
      <c r="D16" s="14" t="n">
        <f aca="false">C16-B16</f>
        <v>0.0960000000000001</v>
      </c>
    </row>
    <row r="17" customFormat="false" ht="22.5" hidden="false" customHeight="true" outlineLevel="0" collapsed="false">
      <c r="A17" s="7" t="s">
        <v>159</v>
      </c>
      <c r="B17" s="16" t="n">
        <f aca="false">Historical!C104/1000000</f>
        <v>220.644</v>
      </c>
      <c r="C17" s="16" t="n">
        <f aca="false">Historical!C105/1000000</f>
        <v>293.606</v>
      </c>
      <c r="D17" s="14" t="n">
        <f aca="false">C17-B17</f>
        <v>72.962</v>
      </c>
    </row>
    <row r="19" customFormat="false" ht="30" hidden="false" customHeight="true" outlineLevel="0" collapsed="false">
      <c r="A19" s="7" t="s">
        <v>160</v>
      </c>
      <c r="B19" s="17" t="n">
        <f aca="false">IF(B7&gt;0,B8/B7,"N/A")</f>
        <v>0.431790916300097</v>
      </c>
      <c r="C19" s="17" t="n">
        <f aca="false">IF(C7&gt;0,C8/C7,"N/A")</f>
        <v>0.602464721656434</v>
      </c>
    </row>
    <row r="20" customFormat="false" ht="30" hidden="false" customHeight="true" outlineLevel="0" collapsed="false">
      <c r="A20" s="7" t="s">
        <v>161</v>
      </c>
      <c r="B20" s="14" t="n">
        <f aca="false">IF(B11&gt;0,B12/B11,"N/A")</f>
        <v>1.21390798519302</v>
      </c>
      <c r="C20" s="14" t="n">
        <f aca="false">IF(C11&gt;0,C12/C11,"N/A")</f>
        <v>1.21760261777585</v>
      </c>
    </row>
    <row r="21" customFormat="false" ht="30" hidden="false" customHeight="true" outlineLevel="0" collapsed="false">
      <c r="A21" s="7" t="s">
        <v>162</v>
      </c>
      <c r="B21" s="18" t="n">
        <f aca="false">B12-B13-B14</f>
        <v>47.5</v>
      </c>
      <c r="C21" s="18" t="n">
        <f aca="false">C12-C13-C14</f>
        <v>106.186</v>
      </c>
    </row>
    <row r="22" customFormat="false" ht="30" hidden="false" customHeight="true" outlineLevel="0" collapsed="false">
      <c r="A22" s="7" t="s">
        <v>163</v>
      </c>
      <c r="B22" s="18" t="n">
        <f aca="false">B17+B12+B15+B16</f>
        <v>230.878</v>
      </c>
      <c r="C22" s="18" t="n">
        <f aca="false">C17+C12+C15+C16</f>
        <v>373.998</v>
      </c>
    </row>
    <row r="24" customFormat="false" ht="22.5" hidden="false" customHeight="true" outlineLevel="0" collapsed="false">
      <c r="A24" s="6" t="s">
        <v>164</v>
      </c>
      <c r="B24" s="6"/>
      <c r="C24" s="6"/>
      <c r="D24" s="6"/>
      <c r="E24" s="6"/>
      <c r="F24" s="6"/>
      <c r="G24" s="6"/>
      <c r="H24" s="6"/>
      <c r="I24" s="6"/>
    </row>
    <row r="25" customFormat="false" ht="22.5" hidden="false" customHeight="true" outlineLevel="0" collapsed="false">
      <c r="A25" s="6"/>
      <c r="B25" s="6"/>
      <c r="C25" s="6"/>
      <c r="D25" s="6"/>
      <c r="E25" s="6"/>
      <c r="F25" s="6"/>
      <c r="G25" s="6"/>
      <c r="H25" s="6"/>
      <c r="I25" s="6"/>
    </row>
    <row r="27" customFormat="false" ht="22.5" hidden="false" customHeight="true" outlineLevel="0" collapsed="false">
      <c r="A27" s="2" t="s">
        <v>165</v>
      </c>
      <c r="B27" s="2"/>
      <c r="C27" s="2"/>
      <c r="D27" s="2"/>
      <c r="E27" s="2"/>
      <c r="F27" s="2"/>
      <c r="G27" s="2"/>
      <c r="H27" s="2"/>
      <c r="I27" s="2"/>
    </row>
    <row r="29" customFormat="false" ht="22.5" hidden="false" customHeight="true" outlineLevel="0" collapsed="false">
      <c r="A29" s="7" t="s">
        <v>166</v>
      </c>
      <c r="B29" s="18" t="n">
        <f aca="false">B11</f>
        <v>52.948</v>
      </c>
    </row>
    <row r="30" customFormat="false" ht="22.5" hidden="false" customHeight="true" outlineLevel="0" collapsed="false">
      <c r="A30" s="7" t="s">
        <v>167</v>
      </c>
      <c r="B30" s="14" t="n">
        <f aca="false">C8-B8</f>
        <v>59.636</v>
      </c>
    </row>
    <row r="31" customFormat="false" ht="22.5" hidden="false" customHeight="true" outlineLevel="0" collapsed="false">
      <c r="A31" s="7" t="s">
        <v>168</v>
      </c>
      <c r="B31" s="14" t="n">
        <f aca="false">(C9-C8)-(B9-B8)</f>
        <v>-4.211</v>
      </c>
    </row>
    <row r="32" customFormat="false" ht="22.5" hidden="false" customHeight="true" outlineLevel="0" collapsed="false">
      <c r="A32" s="7" t="s">
        <v>169</v>
      </c>
      <c r="B32" s="14" t="n">
        <f aca="false">B10-C10</f>
        <v>-4.468</v>
      </c>
    </row>
    <row r="33" customFormat="false" ht="22.5" hidden="false" customHeight="true" outlineLevel="0" collapsed="false">
      <c r="A33" s="7" t="s">
        <v>170</v>
      </c>
      <c r="B33" s="18" t="n">
        <f aca="false">C11</f>
        <v>103.905</v>
      </c>
    </row>
    <row r="35" customFormat="false" ht="22.5" hidden="false" customHeight="true" outlineLevel="0" collapsed="false">
      <c r="A35" s="7" t="s">
        <v>171</v>
      </c>
      <c r="B35" s="14" t="n">
        <f aca="false">SUM(B29:B32)-B33</f>
        <v>0</v>
      </c>
    </row>
    <row r="37" customFormat="false" ht="22.5" hidden="false" customHeight="true" outlineLevel="0" collapsed="false">
      <c r="A37" s="2" t="s">
        <v>172</v>
      </c>
      <c r="B37" s="2"/>
      <c r="C37" s="2"/>
      <c r="D37" s="2"/>
      <c r="E37" s="2"/>
      <c r="F37" s="2"/>
      <c r="G37" s="2"/>
      <c r="H37" s="2"/>
      <c r="I37" s="2"/>
    </row>
    <row r="39" customFormat="false" ht="22.5" hidden="false" customHeight="true" outlineLevel="0" collapsed="false">
      <c r="A39" s="7" t="s">
        <v>159</v>
      </c>
      <c r="B39" s="18" t="n">
        <f aca="false">C17</f>
        <v>293.606</v>
      </c>
    </row>
    <row r="40" customFormat="false" ht="22.5" hidden="false" customHeight="true" outlineLevel="0" collapsed="false">
      <c r="A40" s="7" t="s">
        <v>154</v>
      </c>
      <c r="B40" s="14" t="n">
        <f aca="false">C12</f>
        <v>126.515</v>
      </c>
    </row>
    <row r="41" customFormat="false" ht="22.5" hidden="false" customHeight="true" outlineLevel="0" collapsed="false">
      <c r="A41" s="7" t="s">
        <v>173</v>
      </c>
      <c r="B41" s="14" t="n">
        <f aca="false">-C13-C14</f>
        <v>-20.329</v>
      </c>
    </row>
    <row r="42" customFormat="false" ht="22.5" hidden="false" customHeight="true" outlineLevel="0" collapsed="false">
      <c r="A42" s="7" t="s">
        <v>174</v>
      </c>
      <c r="B42" s="14" t="n">
        <f aca="false">C15+C13+C14</f>
        <v>-23.608</v>
      </c>
    </row>
    <row r="43" customFormat="false" ht="22.5" hidden="false" customHeight="true" outlineLevel="0" collapsed="false">
      <c r="A43" s="7" t="s">
        <v>158</v>
      </c>
      <c r="B43" s="14" t="n">
        <f aca="false">C16</f>
        <v>-2.186</v>
      </c>
    </row>
    <row r="44" customFormat="false" ht="22.5" hidden="false" customHeight="true" outlineLevel="0" collapsed="false">
      <c r="A44" s="7" t="s">
        <v>175</v>
      </c>
      <c r="B44" s="18" t="n">
        <f aca="false">C22</f>
        <v>373.998</v>
      </c>
    </row>
    <row r="46" customFormat="false" ht="22.5" hidden="false" customHeight="true" outlineLevel="0" collapsed="false">
      <c r="A46" s="7" t="s">
        <v>176</v>
      </c>
      <c r="B46" s="14" t="n">
        <f aca="false">SUM(B39:B43)-B44</f>
        <v>0</v>
      </c>
    </row>
    <row r="49" customFormat="false" ht="22.5" hidden="false" customHeight="true" outlineLevel="0" collapsed="false">
      <c r="A49" s="6" t="s">
        <v>177</v>
      </c>
      <c r="B49" s="6"/>
      <c r="C49" s="6"/>
      <c r="D49" s="6"/>
      <c r="E49" s="6"/>
      <c r="F49" s="6"/>
      <c r="G49" s="6"/>
      <c r="H49" s="6"/>
      <c r="I49" s="6"/>
    </row>
    <row r="50" customFormat="false" ht="22.5" hidden="false" customHeight="true" outlineLevel="0" collapsed="false">
      <c r="A50" s="6"/>
      <c r="B50" s="6"/>
      <c r="C50" s="6"/>
      <c r="D50" s="6"/>
      <c r="E50" s="6"/>
      <c r="F50" s="6"/>
      <c r="G50" s="6"/>
      <c r="H50" s="6"/>
      <c r="I50" s="6"/>
    </row>
    <row r="51" customFormat="false" ht="22.5" hidden="false" customHeight="true" outlineLevel="0" collapsed="false">
      <c r="A51" s="6"/>
      <c r="B51" s="6"/>
      <c r="C51" s="6"/>
      <c r="D51" s="6"/>
      <c r="E51" s="6"/>
      <c r="F51" s="6"/>
      <c r="G51" s="6"/>
      <c r="H51" s="6"/>
      <c r="I51" s="6"/>
    </row>
  </sheetData>
  <mergeCells count="6">
    <mergeCell ref="A1:I2"/>
    <mergeCell ref="A4:I4"/>
    <mergeCell ref="A24:I25"/>
    <mergeCell ref="A27:I27"/>
    <mergeCell ref="A37:I37"/>
    <mergeCell ref="A49:I51"/>
  </mergeCells>
  <printOptions headings="false" gridLines="false" gridLinesSet="true" horizontalCentered="false" verticalCentered="false"/>
  <pageMargins left="0.3" right="0.3" top="0.4" bottom="0.4" header="0.511811023622047" footer="0.2"/>
  <pageSetup paperSize="9" scale="100" fitToWidth="1" fitToHeight="2" pageOrder="downThenOver" orientation="landscape" blackAndWhite="false" draft="false" cellComments="none" horizontalDpi="300" verticalDpi="300" copies="1"/>
  <headerFooter differentFirst="false" differentOddEven="false">
    <oddHeader/>
    <oddFooter>&amp;Lasx-mlx | Analysis&amp;RPage &amp;P of &amp;N</oddFooter>
  </headerFooter>
  <rowBreaks count="1" manualBreakCount="1">
    <brk id="26"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178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7" t="s">
        <v>26</v>
      </c>
      <c r="B4" s="17" t="n">
        <f aca="false">IF(Assumptions!$B$4="bear",Assumptions!$B$20,IF(Assumptions!$B$4="base",Assumptions!$B$39,Assumptions!$B$58))</f>
        <v>0.1</v>
      </c>
    </row>
    <row r="5" customFormat="false" ht="22.5" hidden="false" customHeight="true" outlineLevel="0" collapsed="false">
      <c r="A5" s="7" t="s">
        <v>27</v>
      </c>
      <c r="B5" s="17" t="n">
        <f aca="false">IF(Assumptions!$B$4="bear",Assumptions!$B$21,IF(Assumptions!$B$4="base",Assumptions!$B$40,Assumptions!$B$59))</f>
        <v>0.5</v>
      </c>
    </row>
    <row r="6" customFormat="false" ht="22.5" hidden="false" customHeight="true" outlineLevel="0" collapsed="false">
      <c r="A6" s="7" t="s">
        <v>28</v>
      </c>
      <c r="B6" s="16" t="n">
        <f aca="false">IF(Assumptions!$B$4="bear",Assumptions!$B$22,IF(Assumptions!$B$4="base",Assumptions!$B$41,Assumptions!$B$60))</f>
        <v>0</v>
      </c>
    </row>
    <row r="7" customFormat="false" ht="22.5" hidden="false" customHeight="true" outlineLevel="0" collapsed="false">
      <c r="A7" s="7" t="s">
        <v>179</v>
      </c>
      <c r="B7" s="16" t="n">
        <f aca="false">IF(Assumptions!$B$4="bear",Assumptions!$B$23,IF(Assumptions!$B$4="base",Assumptions!$B$42,Assumptions!$B$61))</f>
        <v>5</v>
      </c>
    </row>
    <row r="8" customFormat="false" ht="22.5" hidden="false" customHeight="true" outlineLevel="0" collapsed="false">
      <c r="A8" s="7" t="s">
        <v>180</v>
      </c>
      <c r="B8" s="16" t="str">
        <f aca="false">IF(Assumptions!$B$4="bear","imputed_production",IF(Assumptions!$B$4="base","imputed_production","imputed_production"))</f>
        <v>imputed_production</v>
      </c>
    </row>
    <row r="9" customFormat="false" ht="22.5" hidden="false" customHeight="true" outlineLevel="0" collapsed="false">
      <c r="A9" s="8" t="s">
        <v>181</v>
      </c>
      <c r="C9" s="13" t="n">
        <f aca="false">YEAR(DATEVALUE(Assumptions!$B$12))+1</f>
        <v>2027</v>
      </c>
      <c r="D9" s="13" t="n">
        <f aca="false">YEAR(DATEVALUE(Assumptions!$B$12))+2</f>
        <v>2028</v>
      </c>
      <c r="E9" s="13" t="n">
        <f aca="false">YEAR(DATEVALUE(Assumptions!$B$12))+3</f>
        <v>2029</v>
      </c>
      <c r="F9" s="13" t="n">
        <f aca="false">YEAR(DATEVALUE(Assumptions!$B$12))+4</f>
        <v>2030</v>
      </c>
      <c r="G9" s="13" t="n">
        <f aca="false">YEAR(DATEVALUE(Assumptions!$B$12))+5</f>
        <v>2031</v>
      </c>
      <c r="H9" s="13" t="n">
        <f aca="false">YEAR(DATEVALUE(Assumptions!$B$12))+6</f>
        <v>2032</v>
      </c>
      <c r="I9" s="13" t="n">
        <f aca="false">YEAR(DATEVALUE(Assumptions!$B$12))+7</f>
        <v>2033</v>
      </c>
    </row>
    <row r="10" customFormat="false" ht="22.5" hidden="false" customHeight="true" outlineLevel="0" collapsed="false">
      <c r="A10" s="7" t="s">
        <v>182</v>
      </c>
      <c r="B10" s="11" t="s">
        <v>31</v>
      </c>
      <c r="C10" s="16" t="n">
        <f aca="false">IF(Assumptions!$B$4="bear",Assumptions!$C$25,IF(Assumptions!$B$4="base",Assumptions!$C$44,Assumptions!$C$63))</f>
        <v>10201.7115384615</v>
      </c>
      <c r="D10" s="16" t="n">
        <f aca="false">IF(Assumptions!$B$4="bear",Assumptions!$D$25,IF(Assumptions!$B$4="base",Assumptions!$D$44,Assumptions!$D$63))</f>
        <v>11287</v>
      </c>
      <c r="E10" s="16" t="n">
        <f aca="false">IF(Assumptions!$B$4="bear",Assumptions!$E$25,IF(Assumptions!$B$4="base",Assumptions!$E$44,Assumptions!$E$63))</f>
        <v>11287</v>
      </c>
      <c r="F10" s="16" t="n">
        <f aca="false">IF(Assumptions!$B$4="bear",Assumptions!$F$25,IF(Assumptions!$B$4="base",Assumptions!$F$44,Assumptions!$F$63))</f>
        <v>11287</v>
      </c>
      <c r="G10" s="16" t="n">
        <f aca="false">IF(Assumptions!$B$4="bear",Assumptions!$G$25,IF(Assumptions!$B$4="base",Assumptions!$G$44,Assumptions!$G$63))</f>
        <v>11287</v>
      </c>
      <c r="H10" s="16" t="n">
        <f aca="false">IF(Assumptions!$B$4="bear",Assumptions!$H$25,IF(Assumptions!$B$4="base",Assumptions!$H$44,Assumptions!$H$63))</f>
        <v>0</v>
      </c>
      <c r="I10" s="16" t="n">
        <f aca="false">IF(Assumptions!$B$4="bear",Assumptions!$I$25,IF(Assumptions!$B$4="base",Assumptions!$I$44,Assumptions!$I$63))</f>
        <v>0</v>
      </c>
    </row>
    <row r="11" customFormat="false" ht="22.5" hidden="false" customHeight="true" outlineLevel="0" collapsed="false">
      <c r="A11" s="7" t="s">
        <v>32</v>
      </c>
      <c r="B11" s="11" t="s">
        <v>183</v>
      </c>
      <c r="C11" s="16" t="n">
        <f aca="false">IF(Assumptions!$B$4="bear",Assumptions!$C$26,IF(Assumptions!$B$4="base",Assumptions!$C$45,Assumptions!$C$64))</f>
        <v>63760</v>
      </c>
      <c r="D11" s="16" t="n">
        <f aca="false">IF(Assumptions!$B$4="bear",Assumptions!$D$26,IF(Assumptions!$B$4="base",Assumptions!$D$45,Assumptions!$D$64))</f>
        <v>63760</v>
      </c>
      <c r="E11" s="16" t="n">
        <f aca="false">IF(Assumptions!$B$4="bear",Assumptions!$E$26,IF(Assumptions!$B$4="base",Assumptions!$E$45,Assumptions!$E$64))</f>
        <v>63760</v>
      </c>
      <c r="F11" s="16" t="n">
        <f aca="false">IF(Assumptions!$B$4="bear",Assumptions!$F$26,IF(Assumptions!$B$4="base",Assumptions!$F$45,Assumptions!$F$64))</f>
        <v>63760</v>
      </c>
      <c r="G11" s="16" t="n">
        <f aca="false">IF(Assumptions!$B$4="bear",Assumptions!$G$26,IF(Assumptions!$B$4="base",Assumptions!$G$45,Assumptions!$G$64))</f>
        <v>63760</v>
      </c>
      <c r="H11" s="16" t="n">
        <f aca="false">IF(Assumptions!$B$4="bear",Assumptions!$H$26,IF(Assumptions!$B$4="base",Assumptions!$H$45,Assumptions!$H$64))</f>
        <v>0</v>
      </c>
      <c r="I11" s="16" t="n">
        <f aca="false">IF(Assumptions!$B$4="bear",Assumptions!$I$26,IF(Assumptions!$B$4="base",Assumptions!$I$45,Assumptions!$I$64))</f>
        <v>0</v>
      </c>
    </row>
    <row r="12" customFormat="false" ht="22.5" hidden="false" customHeight="true" outlineLevel="0" collapsed="false">
      <c r="A12" s="7" t="s">
        <v>34</v>
      </c>
      <c r="B12" s="11" t="s">
        <v>183</v>
      </c>
      <c r="C12" s="16" t="n">
        <f aca="false">IF(Assumptions!$B$4="bear",Assumptions!$C$27,IF(Assumptions!$B$4="base",Assumptions!$C$46,Assumptions!$C$65))</f>
        <v>1</v>
      </c>
      <c r="D12" s="16" t="n">
        <f aca="false">IF(Assumptions!$B$4="bear",Assumptions!$D$27,IF(Assumptions!$B$4="base",Assumptions!$D$46,Assumptions!$D$65))</f>
        <v>1</v>
      </c>
      <c r="E12" s="16" t="n">
        <f aca="false">IF(Assumptions!$B$4="bear",Assumptions!$E$27,IF(Assumptions!$B$4="base",Assumptions!$E$46,Assumptions!$E$65))</f>
        <v>1</v>
      </c>
      <c r="F12" s="16" t="n">
        <f aca="false">IF(Assumptions!$B$4="bear",Assumptions!$F$27,IF(Assumptions!$B$4="base",Assumptions!$F$46,Assumptions!$F$65))</f>
        <v>1</v>
      </c>
      <c r="G12" s="16" t="n">
        <f aca="false">IF(Assumptions!$B$4="bear",Assumptions!$G$27,IF(Assumptions!$B$4="base",Assumptions!$G$46,Assumptions!$G$65))</f>
        <v>1</v>
      </c>
      <c r="H12" s="16" t="n">
        <f aca="false">IF(Assumptions!$B$4="bear",Assumptions!$H$27,IF(Assumptions!$B$4="base",Assumptions!$H$46,Assumptions!$H$65))</f>
        <v>0</v>
      </c>
      <c r="I12" s="16" t="n">
        <f aca="false">IF(Assumptions!$B$4="bear",Assumptions!$I$27,IF(Assumptions!$B$4="base",Assumptions!$I$46,Assumptions!$I$65))</f>
        <v>0</v>
      </c>
    </row>
    <row r="13" customFormat="false" ht="22.5" hidden="false" customHeight="true" outlineLevel="0" collapsed="false">
      <c r="A13" s="7" t="s">
        <v>36</v>
      </c>
      <c r="B13" s="11" t="s">
        <v>33</v>
      </c>
      <c r="C13" s="16" t="n">
        <f aca="false">IF(Assumptions!$B$4="bear",Assumptions!$C$28,IF(Assumptions!$B$4="base",Assumptions!$C$47,Assumptions!$C$66))</f>
        <v>30356.9361702128</v>
      </c>
      <c r="D13" s="16" t="n">
        <f aca="false">IF(Assumptions!$B$4="bear",Assumptions!$D$28,IF(Assumptions!$B$4="base",Assumptions!$D$47,Assumptions!$D$66))</f>
        <v>27438</v>
      </c>
      <c r="E13" s="16" t="n">
        <f aca="false">IF(Assumptions!$B$4="bear",Assumptions!$E$28,IF(Assumptions!$B$4="base",Assumptions!$E$47,Assumptions!$E$66))</f>
        <v>27438</v>
      </c>
      <c r="F13" s="16" t="n">
        <f aca="false">IF(Assumptions!$B$4="bear",Assumptions!$F$28,IF(Assumptions!$B$4="base",Assumptions!$F$47,Assumptions!$F$66))</f>
        <v>27438</v>
      </c>
      <c r="G13" s="16" t="n">
        <f aca="false">IF(Assumptions!$B$4="bear",Assumptions!$G$28,IF(Assumptions!$B$4="base",Assumptions!$G$47,Assumptions!$G$66))</f>
        <v>27438</v>
      </c>
      <c r="H13" s="16" t="n">
        <f aca="false">IF(Assumptions!$B$4="bear",Assumptions!$H$28,IF(Assumptions!$B$4="base",Assumptions!$H$47,Assumptions!$H$66))</f>
        <v>0</v>
      </c>
      <c r="I13" s="16" t="n">
        <f aca="false">IF(Assumptions!$B$4="bear",Assumptions!$I$28,IF(Assumptions!$B$4="base",Assumptions!$I$47,Assumptions!$I$66))</f>
        <v>0</v>
      </c>
    </row>
    <row r="14" customFormat="false" ht="22.5" hidden="false" customHeight="true" outlineLevel="0" collapsed="false">
      <c r="A14" s="7" t="s">
        <v>37</v>
      </c>
      <c r="B14" s="11" t="s">
        <v>38</v>
      </c>
      <c r="C14" s="17" t="n">
        <f aca="false">IF(Assumptions!$B$4="bear",Assumptions!$C$29,IF(Assumptions!$B$4="base",Assumptions!$C$48,Assumptions!$C$67))</f>
        <v>0</v>
      </c>
      <c r="D14" s="17" t="n">
        <f aca="false">IF(Assumptions!$B$4="bear",Assumptions!$D$29,IF(Assumptions!$B$4="base",Assumptions!$D$48,Assumptions!$D$67))</f>
        <v>0</v>
      </c>
      <c r="E14" s="17" t="n">
        <f aca="false">IF(Assumptions!$B$4="bear",Assumptions!$E$29,IF(Assumptions!$B$4="base",Assumptions!$E$48,Assumptions!$E$67))</f>
        <v>0</v>
      </c>
      <c r="F14" s="17" t="n">
        <f aca="false">IF(Assumptions!$B$4="bear",Assumptions!$F$29,IF(Assumptions!$B$4="base",Assumptions!$F$48,Assumptions!$F$67))</f>
        <v>0</v>
      </c>
      <c r="G14" s="17" t="n">
        <f aca="false">IF(Assumptions!$B$4="bear",Assumptions!$G$29,IF(Assumptions!$B$4="base",Assumptions!$G$48,Assumptions!$G$67))</f>
        <v>0</v>
      </c>
      <c r="H14" s="17" t="n">
        <f aca="false">IF(Assumptions!$B$4="bear",Assumptions!$H$29,IF(Assumptions!$B$4="base",Assumptions!$H$48,Assumptions!$H$67))</f>
        <v>0</v>
      </c>
      <c r="I14" s="17" t="n">
        <f aca="false">IF(Assumptions!$B$4="bear",Assumptions!$I$29,IF(Assumptions!$B$4="base",Assumptions!$I$48,Assumptions!$I$67))</f>
        <v>0</v>
      </c>
    </row>
    <row r="15" customFormat="false" ht="22.5" hidden="false" customHeight="true" outlineLevel="0" collapsed="false">
      <c r="A15" s="7" t="s">
        <v>39</v>
      </c>
      <c r="B15" s="11" t="s">
        <v>38</v>
      </c>
      <c r="C15" s="17" t="n">
        <f aca="false">IF(Assumptions!$B$4="bear",Assumptions!$C$30,IF(Assumptions!$B$4="base",Assumptions!$C$49,Assumptions!$C$68))</f>
        <v>0.3</v>
      </c>
      <c r="D15" s="17" t="n">
        <f aca="false">IF(Assumptions!$B$4="bear",Assumptions!$D$30,IF(Assumptions!$B$4="base",Assumptions!$D$49,Assumptions!$D$68))</f>
        <v>0.3</v>
      </c>
      <c r="E15" s="17" t="n">
        <f aca="false">IF(Assumptions!$B$4="bear",Assumptions!$E$30,IF(Assumptions!$B$4="base",Assumptions!$E$49,Assumptions!$E$68))</f>
        <v>0.3</v>
      </c>
      <c r="F15" s="17" t="n">
        <f aca="false">IF(Assumptions!$B$4="bear",Assumptions!$F$30,IF(Assumptions!$B$4="base",Assumptions!$F$49,Assumptions!$F$68))</f>
        <v>0.3</v>
      </c>
      <c r="G15" s="17" t="n">
        <f aca="false">IF(Assumptions!$B$4="bear",Assumptions!$G$30,IF(Assumptions!$B$4="base",Assumptions!$G$49,Assumptions!$G$68))</f>
        <v>0.3</v>
      </c>
      <c r="H15" s="17" t="n">
        <f aca="false">IF(Assumptions!$B$4="bear",Assumptions!$H$30,IF(Assumptions!$B$4="base",Assumptions!$H$49,Assumptions!$H$68))</f>
        <v>0</v>
      </c>
      <c r="I15" s="17" t="n">
        <f aca="false">IF(Assumptions!$B$4="bear",Assumptions!$I$30,IF(Assumptions!$B$4="base",Assumptions!$I$49,Assumptions!$I$68))</f>
        <v>0</v>
      </c>
    </row>
    <row r="16" customFormat="false" ht="22.5" hidden="false" customHeight="true" outlineLevel="0" collapsed="false">
      <c r="A16" s="7" t="s">
        <v>40</v>
      </c>
      <c r="B16" s="11" t="s">
        <v>12</v>
      </c>
      <c r="C16" s="16" t="n">
        <f aca="false">IF(Assumptions!$B$4="bear",Assumptions!$C$31,IF(Assumptions!$B$4="base",Assumptions!$C$50,Assumptions!$C$69))</f>
        <v>0</v>
      </c>
      <c r="D16" s="16" t="n">
        <f aca="false">IF(Assumptions!$B$4="bear",Assumptions!$D$31,IF(Assumptions!$B$4="base",Assumptions!$D$50,Assumptions!$D$69))</f>
        <v>0</v>
      </c>
      <c r="E16" s="16" t="n">
        <f aca="false">IF(Assumptions!$B$4="bear",Assumptions!$E$31,IF(Assumptions!$B$4="base",Assumptions!$E$50,Assumptions!$E$69))</f>
        <v>0</v>
      </c>
      <c r="F16" s="16" t="n">
        <f aca="false">IF(Assumptions!$B$4="bear",Assumptions!$F$31,IF(Assumptions!$B$4="base",Assumptions!$F$50,Assumptions!$F$69))</f>
        <v>0</v>
      </c>
      <c r="G16" s="16" t="n">
        <f aca="false">IF(Assumptions!$B$4="bear",Assumptions!$G$31,IF(Assumptions!$B$4="base",Assumptions!$G$50,Assumptions!$G$69))</f>
        <v>0</v>
      </c>
      <c r="H16" s="16" t="n">
        <f aca="false">IF(Assumptions!$B$4="bear",Assumptions!$H$31,IF(Assumptions!$B$4="base",Assumptions!$H$50,Assumptions!$H$69))</f>
        <v>0</v>
      </c>
      <c r="I16" s="16" t="n">
        <f aca="false">IF(Assumptions!$B$4="bear",Assumptions!$I$31,IF(Assumptions!$B$4="base",Assumptions!$I$50,Assumptions!$I$69))</f>
        <v>0</v>
      </c>
    </row>
    <row r="17" customFormat="false" ht="22.5" hidden="false" customHeight="true" outlineLevel="0" collapsed="false">
      <c r="A17" s="7" t="s">
        <v>41</v>
      </c>
      <c r="B17" s="11" t="s">
        <v>12</v>
      </c>
      <c r="C17" s="16" t="n">
        <f aca="false">IF(Assumptions!$B$4="bear",Assumptions!$C$32,IF(Assumptions!$B$4="base",Assumptions!$C$51,Assumptions!$C$70))</f>
        <v>93600000</v>
      </c>
      <c r="D17" s="16" t="n">
        <f aca="false">IF(Assumptions!$B$4="bear",Assumptions!$D$32,IF(Assumptions!$B$4="base",Assumptions!$D$51,Assumptions!$D$70))</f>
        <v>93600000</v>
      </c>
      <c r="E17" s="16" t="n">
        <f aca="false">IF(Assumptions!$B$4="bear",Assumptions!$E$32,IF(Assumptions!$B$4="base",Assumptions!$E$51,Assumptions!$E$70))</f>
        <v>93600000</v>
      </c>
      <c r="F17" s="16" t="n">
        <f aca="false">IF(Assumptions!$B$4="bear",Assumptions!$F$32,IF(Assumptions!$B$4="base",Assumptions!$F$51,Assumptions!$F$70))</f>
        <v>93600000</v>
      </c>
      <c r="G17" s="16" t="n">
        <f aca="false">IF(Assumptions!$B$4="bear",Assumptions!$G$32,IF(Assumptions!$B$4="base",Assumptions!$G$51,Assumptions!$G$70))</f>
        <v>93600000</v>
      </c>
      <c r="H17" s="16" t="n">
        <f aca="false">IF(Assumptions!$B$4="bear",Assumptions!$H$32,IF(Assumptions!$B$4="base",Assumptions!$H$51,Assumptions!$H$70))</f>
        <v>0</v>
      </c>
      <c r="I17" s="16" t="n">
        <f aca="false">IF(Assumptions!$B$4="bear",Assumptions!$I$32,IF(Assumptions!$B$4="base",Assumptions!$I$51,Assumptions!$I$70))</f>
        <v>0</v>
      </c>
    </row>
    <row r="18" customFormat="false" ht="22.5" hidden="false" customHeight="true" outlineLevel="0" collapsed="false">
      <c r="A18" s="7" t="s">
        <v>42</v>
      </c>
      <c r="B18" s="11" t="s">
        <v>12</v>
      </c>
      <c r="C18" s="16" t="n">
        <f aca="false">IF(Assumptions!$B$4="bear",Assumptions!$C$33,IF(Assumptions!$B$4="base",Assumptions!$C$52,Assumptions!$C$71))</f>
        <v>0</v>
      </c>
      <c r="D18" s="16" t="n">
        <f aca="false">IF(Assumptions!$B$4="bear",Assumptions!$D$33,IF(Assumptions!$B$4="base",Assumptions!$D$52,Assumptions!$D$71))</f>
        <v>0</v>
      </c>
      <c r="E18" s="16" t="n">
        <f aca="false">IF(Assumptions!$B$4="bear",Assumptions!$E$33,IF(Assumptions!$B$4="base",Assumptions!$E$52,Assumptions!$E$71))</f>
        <v>0</v>
      </c>
      <c r="F18" s="16" t="n">
        <f aca="false">IF(Assumptions!$B$4="bear",Assumptions!$F$33,IF(Assumptions!$B$4="base",Assumptions!$F$52,Assumptions!$F$71))</f>
        <v>0</v>
      </c>
      <c r="G18" s="16" t="n">
        <f aca="false">IF(Assumptions!$B$4="bear",Assumptions!$G$33,IF(Assumptions!$B$4="base",Assumptions!$G$52,Assumptions!$G$71))</f>
        <v>0</v>
      </c>
      <c r="H18" s="16" t="n">
        <f aca="false">IF(Assumptions!$B$4="bear",Assumptions!$H$33,IF(Assumptions!$B$4="base",Assumptions!$H$52,Assumptions!$H$71))</f>
        <v>0</v>
      </c>
      <c r="I18" s="16" t="n">
        <f aca="false">IF(Assumptions!$B$4="bear",Assumptions!$I$33,IF(Assumptions!$B$4="base",Assumptions!$I$52,Assumptions!$I$71))</f>
        <v>0</v>
      </c>
    </row>
    <row r="19" customFormat="false" ht="22.5" hidden="false" customHeight="true" outlineLevel="0" collapsed="false">
      <c r="A19" s="7" t="s">
        <v>43</v>
      </c>
      <c r="B19" s="11" t="s">
        <v>12</v>
      </c>
      <c r="C19" s="16" t="n">
        <f aca="false">IF(Assumptions!$B$4="bear",Assumptions!$C$34,IF(Assumptions!$B$4="base",Assumptions!$C$53,Assumptions!$C$72))</f>
        <v>0</v>
      </c>
      <c r="D19" s="16" t="n">
        <f aca="false">IF(Assumptions!$B$4="bear",Assumptions!$D$34,IF(Assumptions!$B$4="base",Assumptions!$D$53,Assumptions!$D$72))</f>
        <v>0</v>
      </c>
      <c r="E19" s="16" t="n">
        <f aca="false">IF(Assumptions!$B$4="bear",Assumptions!$E$34,IF(Assumptions!$B$4="base",Assumptions!$E$53,Assumptions!$E$72))</f>
        <v>0</v>
      </c>
      <c r="F19" s="16" t="n">
        <f aca="false">IF(Assumptions!$B$4="bear",Assumptions!$F$34,IF(Assumptions!$B$4="base",Assumptions!$F$53,Assumptions!$F$72))</f>
        <v>0</v>
      </c>
      <c r="G19" s="16" t="n">
        <f aca="false">IF(Assumptions!$B$4="bear",Assumptions!$G$34,IF(Assumptions!$B$4="base",Assumptions!$G$53,Assumptions!$G$72))</f>
        <v>100000000</v>
      </c>
      <c r="H19" s="16" t="n">
        <f aca="false">IF(Assumptions!$B$4="bear",Assumptions!$H$34,IF(Assumptions!$B$4="base",Assumptions!$H$53,Assumptions!$H$72))</f>
        <v>0</v>
      </c>
      <c r="I19" s="16" t="n">
        <f aca="false">IF(Assumptions!$B$4="bear",Assumptions!$I$34,IF(Assumptions!$B$4="base",Assumptions!$I$53,Assumptions!$I$72))</f>
        <v>0</v>
      </c>
    </row>
    <row r="20" customFormat="false" ht="22.5" hidden="false" customHeight="true" outlineLevel="0" collapsed="false">
      <c r="A20" s="7" t="s">
        <v>44</v>
      </c>
      <c r="B20" s="11" t="s">
        <v>12</v>
      </c>
      <c r="C20" s="16" t="n">
        <f aca="false">IF(Assumptions!$B$4="bear",Assumptions!$C$35,IF(Assumptions!$B$4="base",Assumptions!$C$54,Assumptions!$C$73))</f>
        <v>2240000</v>
      </c>
      <c r="D20" s="16" t="n">
        <f aca="false">IF(Assumptions!$B$4="bear",Assumptions!$D$35,IF(Assumptions!$B$4="base",Assumptions!$D$54,Assumptions!$D$73))</f>
        <v>2240000</v>
      </c>
      <c r="E20" s="16" t="n">
        <f aca="false">IF(Assumptions!$B$4="bear",Assumptions!$E$35,IF(Assumptions!$B$4="base",Assumptions!$E$54,Assumptions!$E$73))</f>
        <v>2240000</v>
      </c>
      <c r="F20" s="16" t="n">
        <f aca="false">IF(Assumptions!$B$4="bear",Assumptions!$F$35,IF(Assumptions!$B$4="base",Assumptions!$F$54,Assumptions!$F$73))</f>
        <v>2240000</v>
      </c>
      <c r="G20" s="16" t="n">
        <f aca="false">IF(Assumptions!$B$4="bear",Assumptions!$G$35,IF(Assumptions!$B$4="base",Assumptions!$G$54,Assumptions!$G$73))</f>
        <v>2240000</v>
      </c>
      <c r="H20" s="16" t="n">
        <f aca="false">IF(Assumptions!$B$4="bear",Assumptions!$H$35,IF(Assumptions!$B$4="base",Assumptions!$H$54,Assumptions!$H$73))</f>
        <v>0</v>
      </c>
      <c r="I20" s="16" t="n">
        <f aca="false">IF(Assumptions!$B$4="bear",Assumptions!$I$35,IF(Assumptions!$B$4="base",Assumptions!$I$54,Assumptions!$I$73))</f>
        <v>0</v>
      </c>
    </row>
    <row r="23" customFormat="false" ht="22.5" hidden="false" customHeight="true" outlineLevel="0" collapsed="false">
      <c r="A23" s="7" t="s">
        <v>99</v>
      </c>
      <c r="B23" s="11" t="s">
        <v>12</v>
      </c>
      <c r="C23" s="14" t="n">
        <f aca="false">Operating!$C$10*Operating!$C$11*Operating!$C$12</f>
        <v>650461127.692308</v>
      </c>
      <c r="D23" s="14" t="n">
        <f aca="false">Operating!$D$10*Operating!$D$11*Operating!$D$12</f>
        <v>719659120</v>
      </c>
      <c r="E23" s="14" t="n">
        <f aca="false">Operating!$E$10*Operating!$E$11*Operating!$E$12</f>
        <v>719659120</v>
      </c>
      <c r="F23" s="14" t="n">
        <f aca="false">Operating!$F$10*Operating!$F$11*Operating!$F$12</f>
        <v>719659120</v>
      </c>
      <c r="G23" s="14" t="n">
        <f aca="false">Operating!$G$10*Operating!$G$11*Operating!$G$12</f>
        <v>719659120</v>
      </c>
      <c r="H23" s="14" t="n">
        <f aca="false">Operating!$H$10*Operating!$H$11*Operating!$H$12</f>
        <v>0</v>
      </c>
      <c r="I23" s="14" t="n">
        <f aca="false">Operating!$I$10*Operating!$I$11*Operating!$I$12</f>
        <v>0</v>
      </c>
    </row>
    <row r="24" customFormat="false" ht="22.5" hidden="false" customHeight="true" outlineLevel="0" collapsed="false">
      <c r="A24" s="7" t="s">
        <v>184</v>
      </c>
      <c r="B24" s="11" t="s">
        <v>12</v>
      </c>
      <c r="C24" s="14" t="n">
        <f aca="false">Operating!$C$10*Operating!$C$13</f>
        <v>309692706</v>
      </c>
      <c r="D24" s="14" t="n">
        <f aca="false">Operating!$D$10*Operating!$D$13</f>
        <v>309692706</v>
      </c>
      <c r="E24" s="14" t="n">
        <f aca="false">Operating!$E$10*Operating!$E$13</f>
        <v>309692706</v>
      </c>
      <c r="F24" s="14" t="n">
        <f aca="false">Operating!$F$10*Operating!$F$13</f>
        <v>309692706</v>
      </c>
      <c r="G24" s="14" t="n">
        <f aca="false">Operating!$G$10*Operating!$G$13</f>
        <v>309692706</v>
      </c>
      <c r="H24" s="14" t="n">
        <f aca="false">Operating!$H$10*Operating!$H$13</f>
        <v>0</v>
      </c>
      <c r="I24" s="14" t="n">
        <f aca="false">Operating!$I$10*Operating!$I$13</f>
        <v>0</v>
      </c>
    </row>
    <row r="25" customFormat="false" ht="22.5" hidden="false" customHeight="true" outlineLevel="0" collapsed="false">
      <c r="A25" s="7" t="s">
        <v>185</v>
      </c>
      <c r="B25" s="11" t="s">
        <v>12</v>
      </c>
      <c r="C25" s="14" t="n">
        <f aca="false">Operating!$C$23*Operating!$C$14</f>
        <v>0</v>
      </c>
      <c r="D25" s="14" t="n">
        <f aca="false">Operating!$D$23*Operating!$D$14</f>
        <v>0</v>
      </c>
      <c r="E25" s="14" t="n">
        <f aca="false">Operating!$E$23*Operating!$E$14</f>
        <v>0</v>
      </c>
      <c r="F25" s="14" t="n">
        <f aca="false">Operating!$F$23*Operating!$F$14</f>
        <v>0</v>
      </c>
      <c r="G25" s="14" t="n">
        <f aca="false">Operating!$G$23*Operating!$G$14</f>
        <v>0</v>
      </c>
      <c r="H25" s="14" t="n">
        <f aca="false">Operating!$H$23*Operating!$H$14</f>
        <v>0</v>
      </c>
      <c r="I25" s="14" t="n">
        <f aca="false">Operating!$I$23*Operating!$I$14</f>
        <v>0</v>
      </c>
    </row>
    <row r="26" customFormat="false" ht="22.5" hidden="false" customHeight="true" outlineLevel="0" collapsed="false">
      <c r="A26" s="7" t="s">
        <v>186</v>
      </c>
      <c r="B26" s="11" t="s">
        <v>12</v>
      </c>
      <c r="C26" s="14" t="n">
        <f aca="false">Operating!$C$23-Operating!$C$24-Operating!$C$25-Operating!$C$16</f>
        <v>340768421.692308</v>
      </c>
      <c r="D26" s="14" t="n">
        <f aca="false">Operating!$D$23-Operating!$D$24-Operating!$D$25-Operating!$D$16</f>
        <v>409966414</v>
      </c>
      <c r="E26" s="14" t="n">
        <f aca="false">Operating!$E$23-Operating!$E$24-Operating!$E$25-Operating!$E$16</f>
        <v>409966414</v>
      </c>
      <c r="F26" s="14" t="n">
        <f aca="false">Operating!$F$23-Operating!$F$24-Operating!$F$25-Operating!$F$16</f>
        <v>409966414</v>
      </c>
      <c r="G26" s="14" t="n">
        <f aca="false">Operating!$G$23-Operating!$G$24-Operating!$G$25-Operating!$G$16</f>
        <v>409966414</v>
      </c>
      <c r="H26" s="14" t="n">
        <f aca="false">Operating!$H$23-Operating!$H$24-Operating!$H$25-Operating!$H$16</f>
        <v>0</v>
      </c>
      <c r="I26" s="14" t="n">
        <f aca="false">Operating!$I$23-Operating!$I$24-Operating!$I$25-Operating!$I$16</f>
        <v>0</v>
      </c>
    </row>
    <row r="27" customFormat="false" ht="22.5" hidden="false" customHeight="true" outlineLevel="0" collapsed="false">
      <c r="A27" s="7" t="s">
        <v>187</v>
      </c>
      <c r="B27" s="11" t="s">
        <v>12</v>
      </c>
      <c r="C27" s="14" t="n">
        <f aca="false">MAX(0,Operating!$C$26)*Operating!$C$15</f>
        <v>102230526.507692</v>
      </c>
      <c r="D27" s="14" t="n">
        <f aca="false">MAX(0,Operating!$D$26)*Operating!$D$15</f>
        <v>122989924.2</v>
      </c>
      <c r="E27" s="14" t="n">
        <f aca="false">MAX(0,Operating!$E$26)*Operating!$E$15</f>
        <v>122989924.2</v>
      </c>
      <c r="F27" s="14" t="n">
        <f aca="false">MAX(0,Operating!$F$26)*Operating!$F$15</f>
        <v>122989924.2</v>
      </c>
      <c r="G27" s="14" t="n">
        <f aca="false">MAX(0,Operating!$G$26)*Operating!$G$15</f>
        <v>122989924.2</v>
      </c>
      <c r="H27" s="14" t="n">
        <f aca="false">MAX(0,Operating!$H$26)*Operating!$H$15</f>
        <v>0</v>
      </c>
      <c r="I27" s="14" t="n">
        <f aca="false">MAX(0,Operating!$I$26)*Operating!$I$15</f>
        <v>0</v>
      </c>
    </row>
    <row r="28" customFormat="false" ht="22.5" hidden="false" customHeight="true" outlineLevel="0" collapsed="false">
      <c r="A28" s="7" t="s">
        <v>188</v>
      </c>
      <c r="B28" s="11" t="s">
        <v>12</v>
      </c>
      <c r="C28" s="14" t="n">
        <f aca="false">Operating!$C$26-Operating!$C$27</f>
        <v>238537895.184616</v>
      </c>
      <c r="D28" s="14" t="n">
        <f aca="false">Operating!$D$26-Operating!$D$27</f>
        <v>286976489.8</v>
      </c>
      <c r="E28" s="14" t="n">
        <f aca="false">Operating!$E$26-Operating!$E$27</f>
        <v>286976489.8</v>
      </c>
      <c r="F28" s="14" t="n">
        <f aca="false">Operating!$F$26-Operating!$F$27</f>
        <v>286976489.8</v>
      </c>
      <c r="G28" s="14" t="n">
        <f aca="false">Operating!$G$26-Operating!$G$27</f>
        <v>286976489.8</v>
      </c>
      <c r="H28" s="14" t="n">
        <f aca="false">Operating!$H$26-Operating!$H$27</f>
        <v>0</v>
      </c>
      <c r="I28" s="14" t="n">
        <f aca="false">Operating!$I$26-Operating!$I$27</f>
        <v>0</v>
      </c>
    </row>
    <row r="29" customFormat="false" ht="22.5" hidden="false" customHeight="true" outlineLevel="0" collapsed="false">
      <c r="A29" s="7" t="s">
        <v>189</v>
      </c>
      <c r="B29" s="11" t="s">
        <v>12</v>
      </c>
      <c r="C29" s="14" t="n">
        <f aca="false">Operating!$C$28+Operating!$C$16-Operating!$C$17-Operating!$C$18-Operating!$C$19</f>
        <v>144937895.184616</v>
      </c>
      <c r="D29" s="14" t="n">
        <f aca="false">Operating!$D$28+Operating!$D$16-Operating!$D$17-Operating!$D$18-Operating!$D$19</f>
        <v>193376489.8</v>
      </c>
      <c r="E29" s="14" t="n">
        <f aca="false">Operating!$E$28+Operating!$E$16-Operating!$E$17-Operating!$E$18-Operating!$E$19</f>
        <v>193376489.8</v>
      </c>
      <c r="F29" s="14" t="n">
        <f aca="false">Operating!$F$28+Operating!$F$16-Operating!$F$17-Operating!$F$18-Operating!$F$19</f>
        <v>193376489.8</v>
      </c>
      <c r="G29" s="14" t="n">
        <f aca="false">Operating!$G$28+Operating!$G$16-Operating!$G$17-Operating!$G$18-Operating!$G$19</f>
        <v>93376489.8</v>
      </c>
      <c r="H29" s="14" t="n">
        <f aca="false">Operating!$H$28+Operating!$H$16-Operating!$H$17-Operating!$H$18-Operating!$H$19</f>
        <v>0</v>
      </c>
      <c r="I29" s="14" t="n">
        <f aca="false">Operating!$I$28+Operating!$I$16-Operating!$I$17-Operating!$I$18-Operating!$I$19</f>
        <v>0</v>
      </c>
    </row>
    <row r="30" customFormat="false" ht="22.5" hidden="false" customHeight="true" outlineLevel="0" collapsed="false">
      <c r="A30" s="8" t="s">
        <v>190</v>
      </c>
      <c r="B30" s="11" t="s">
        <v>12</v>
      </c>
      <c r="C30" s="18" t="n">
        <f aca="false">Operating!$C$29*Operating!$B$5-Operating!$C$20+IF(1=Operating!$B$7,Operating!$B$6,0)</f>
        <v>70228947.5923078</v>
      </c>
      <c r="D30" s="18" t="n">
        <f aca="false">Operating!$D$29*Operating!$B$5-Operating!$D$20+IF(2=Operating!$B$7,Operating!$B$6,0)</f>
        <v>94448244.9</v>
      </c>
      <c r="E30" s="18" t="n">
        <f aca="false">Operating!$E$29*Operating!$B$5-Operating!$E$20+IF(3=Operating!$B$7,Operating!$B$6,0)</f>
        <v>94448244.9</v>
      </c>
      <c r="F30" s="18" t="n">
        <f aca="false">Operating!$F$29*Operating!$B$5-Operating!$F$20+IF(4=Operating!$B$7,Operating!$B$6,0)</f>
        <v>94448244.9</v>
      </c>
      <c r="G30" s="18" t="n">
        <f aca="false">Operating!$G$29*Operating!$B$5-Operating!$G$20+IF(5=Operating!$B$7,Operating!$B$6,0)</f>
        <v>44448244.9</v>
      </c>
      <c r="H30" s="18" t="n">
        <f aca="false">Operating!$H$29*Operating!$B$5-Operating!$H$20+IF(6=Operating!$B$7,Operating!$B$6,0)</f>
        <v>0</v>
      </c>
      <c r="I30" s="18" t="n">
        <f aca="false">Operating!$I$29*Operating!$B$5-Operating!$I$20+IF(7=Operating!$B$7,Operating!$B$6,0)</f>
        <v>0</v>
      </c>
    </row>
    <row r="31" customFormat="false" ht="22.5" hidden="false" customHeight="true" outlineLevel="0" collapsed="false">
      <c r="A31" s="8" t="s">
        <v>191</v>
      </c>
      <c r="B31" s="11" t="s">
        <v>12</v>
      </c>
      <c r="C31" s="18" t="n">
        <f aca="false">Operating!$C$30/(1+Operating!$B$4)^1</f>
        <v>63844497.8111889</v>
      </c>
      <c r="D31" s="18" t="n">
        <f aca="false">Operating!$D$30/(1+Operating!$B$4)^2</f>
        <v>78056400.7438016</v>
      </c>
      <c r="E31" s="18" t="n">
        <f aca="false">Operating!$E$30/(1+Operating!$B$4)^3</f>
        <v>70960364.3125469</v>
      </c>
      <c r="F31" s="18" t="n">
        <f aca="false">Operating!$F$30/(1+Operating!$B$4)^4</f>
        <v>64509422.1023154</v>
      </c>
      <c r="G31" s="18" t="n">
        <f aca="false">Operating!$G$30/(1+Operating!$B$4)^5</f>
        <v>27598863.0309653</v>
      </c>
      <c r="H31" s="18" t="n">
        <f aca="false">Operating!$H$30/(1+Operating!$B$4)^6</f>
        <v>0</v>
      </c>
      <c r="I31" s="18" t="n">
        <f aca="false">Operating!$I$30/(1+Operating!$B$4)^7</f>
        <v>0</v>
      </c>
    </row>
    <row r="32" customFormat="false" ht="22.5" hidden="false" customHeight="true" outlineLevel="0" collapsed="false">
      <c r="A32" s="7" t="s">
        <v>192</v>
      </c>
      <c r="B32" s="11" t="s">
        <v>12</v>
      </c>
      <c r="C32" s="18" t="n">
        <f aca="false">Assumptions!$B$7+Operating!$C$30</f>
        <v>444226947.592308</v>
      </c>
      <c r="D32" s="18" t="n">
        <f aca="false">Operating!$C$32+Operating!$D$30</f>
        <v>538675192.492308</v>
      </c>
      <c r="E32" s="18" t="n">
        <f aca="false">Operating!$D$32+Operating!$E$30</f>
        <v>633123437.392308</v>
      </c>
      <c r="F32" s="18" t="n">
        <f aca="false">Operating!$E$32+Operating!$F$30</f>
        <v>727571682.292308</v>
      </c>
      <c r="G32" s="18" t="n">
        <f aca="false">Operating!$F$32+Operating!$G$30</f>
        <v>772019927.192308</v>
      </c>
      <c r="H32" s="18" t="n">
        <f aca="false">Operating!$G$32+Operating!$H$30</f>
        <v>772019927.192308</v>
      </c>
      <c r="I32" s="18" t="n">
        <f aca="false">Operating!$H$32+Operating!$I$30</f>
        <v>772019927.192308</v>
      </c>
    </row>
    <row r="34" customFormat="false" ht="22.5" hidden="false" customHeight="true" outlineLevel="0" collapsed="false">
      <c r="A34" s="6" t="s">
        <v>193</v>
      </c>
      <c r="B34" s="6"/>
      <c r="C34" s="6"/>
      <c r="D34" s="6"/>
      <c r="E34" s="6"/>
      <c r="F34" s="6"/>
      <c r="G34" s="6"/>
      <c r="H34" s="6"/>
      <c r="I34" s="6"/>
    </row>
    <row r="35" customFormat="false" ht="22.5" hidden="false" customHeight="true" outlineLevel="0" collapsed="false">
      <c r="A35" s="6"/>
      <c r="B35" s="6"/>
      <c r="C35" s="6"/>
      <c r="D35" s="6"/>
      <c r="E35" s="6"/>
      <c r="F35" s="6"/>
      <c r="G35" s="6"/>
      <c r="H35" s="6"/>
      <c r="I35" s="6"/>
    </row>
  </sheetData>
  <mergeCells count="2">
    <mergeCell ref="A1:I2"/>
    <mergeCell ref="A34:I35"/>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Operating&amp;RPage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194</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195</v>
      </c>
      <c r="B5" s="16" t="n">
        <f aca="false">SUM(Operating!C31:I31)</f>
        <v>304969548.000818</v>
      </c>
      <c r="C5" s="11" t="s">
        <v>12</v>
      </c>
    </row>
    <row r="6" customFormat="false" ht="22.5" hidden="false" customHeight="true" outlineLevel="0" collapsed="false">
      <c r="A6" s="7" t="s">
        <v>11</v>
      </c>
      <c r="B6" s="16" t="n">
        <f aca="false">Assumptions!$B$7</f>
        <v>373998000</v>
      </c>
      <c r="C6" s="11" t="s">
        <v>12</v>
      </c>
    </row>
    <row r="7" customFormat="false" ht="22.5" hidden="false" customHeight="true" outlineLevel="0" collapsed="false">
      <c r="A7" s="7" t="s">
        <v>14</v>
      </c>
      <c r="B7" s="16" t="n">
        <f aca="false">Assumptions!$B$9</f>
        <v>0</v>
      </c>
      <c r="C7" s="11" t="s">
        <v>12</v>
      </c>
    </row>
    <row r="8" customFormat="false" ht="22.5" hidden="false" customHeight="true" outlineLevel="0" collapsed="false">
      <c r="A8" s="7" t="s">
        <v>13</v>
      </c>
      <c r="B8" s="16" t="n">
        <f aca="false">Assumptions!$B$8</f>
        <v>1100000</v>
      </c>
      <c r="C8" s="11" t="s">
        <v>12</v>
      </c>
    </row>
    <row r="9" customFormat="false" ht="22.5" hidden="false" customHeight="true" outlineLevel="0" collapsed="false">
      <c r="A9" s="7" t="s">
        <v>196</v>
      </c>
      <c r="B9" s="16" t="n">
        <f aca="false">B5+B6+B7-B8</f>
        <v>677867548.000818</v>
      </c>
      <c r="C9" s="11" t="s">
        <v>12</v>
      </c>
    </row>
    <row r="10" customFormat="false" ht="22.5" hidden="false" customHeight="true" outlineLevel="0" collapsed="false">
      <c r="A10" s="7" t="s">
        <v>15</v>
      </c>
      <c r="B10" s="16" t="n">
        <f aca="false">Assumptions!$B$10</f>
        <v>886392538</v>
      </c>
      <c r="C10" s="11" t="s">
        <v>16</v>
      </c>
    </row>
    <row r="11" customFormat="false" ht="22.5" hidden="false" customHeight="true" outlineLevel="0" collapsed="false">
      <c r="A11" s="7" t="s">
        <v>197</v>
      </c>
      <c r="B11" s="3" t="n">
        <f aca="false">B9/B10</f>
        <v>0.764748707756854</v>
      </c>
      <c r="C11" s="11" t="s">
        <v>18</v>
      </c>
    </row>
    <row r="12" customFormat="false" ht="22.5" hidden="false" customHeight="true" outlineLevel="0" collapsed="false">
      <c r="A12" s="7" t="s">
        <v>198</v>
      </c>
      <c r="B12" s="16" t="n">
        <f aca="false">MIN(Assumptions!$B$7,Operating!C32:I32)</f>
        <v>373998000</v>
      </c>
      <c r="C12" s="11" t="s">
        <v>12</v>
      </c>
    </row>
    <row r="15" customFormat="false" ht="22.5" hidden="false" customHeight="true" outlineLevel="0" collapsed="false">
      <c r="A15" s="7" t="s">
        <v>199</v>
      </c>
      <c r="B15" s="16" t="n">
        <f aca="false">IF(Assumptions!$B$11="","Unavailable",Assumptions!$B$11)</f>
        <v>2.15</v>
      </c>
    </row>
    <row r="16" customFormat="false" ht="22.5" hidden="false" customHeight="true" outlineLevel="0" collapsed="false">
      <c r="A16" s="7" t="s">
        <v>200</v>
      </c>
      <c r="B16" s="17" t="n">
        <f aca="false">IF(AND(ISNUMBER(B15),B15&gt;0),B11/B15-1,"Unavailable")</f>
        <v>-0.644302926624719</v>
      </c>
    </row>
    <row r="19" customFormat="false" ht="22.5" hidden="false" customHeight="true" outlineLevel="0" collapsed="false">
      <c r="A19" s="6" t="s">
        <v>201</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I2"/>
    <mergeCell ref="A19:F21"/>
  </mergeCell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Valuation&amp;RPage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202</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203</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7" t="n">
        <f aca="false">MAX(0,Operating!$B$4+(-0.02))</f>
        <v>0.08</v>
      </c>
      <c r="D7" s="17" t="n">
        <f aca="false">MAX(0,Operating!$B$4+(0))</f>
        <v>0.1</v>
      </c>
      <c r="E7" s="17" t="n">
        <f aca="false">MAX(0,Operating!$B$4+(0.02))</f>
        <v>0.12</v>
      </c>
    </row>
    <row r="8" customFormat="false" ht="22.5" hidden="false" customHeight="true" outlineLevel="0" collapsed="false">
      <c r="B8" s="14" t="n">
        <v>0.8</v>
      </c>
      <c r="C8" s="3" t="n">
        <f aca="false">(SUM(C17:I17)+Assumptions!$B$7+Assumptions!$B$9-Assumptions!$B$8)/Assumptions!$B$10</f>
        <v>0.560582067871736</v>
      </c>
      <c r="D8" s="3" t="n">
        <f aca="false">(SUM(C18:I18)+Assumptions!$B$7+Assumptions!$B$9-Assumptions!$B$8)/Assumptions!$B$10</f>
        <v>0.554275714877022</v>
      </c>
      <c r="E8" s="3" t="n">
        <f aca="false">(SUM(C19:I19)+Assumptions!$B$7+Assumptions!$B$9-Assumptions!$B$8)/Assumptions!$B$10</f>
        <v>0.548399517139845</v>
      </c>
    </row>
    <row r="9" customFormat="false" ht="22.5" hidden="false" customHeight="true" outlineLevel="0" collapsed="false">
      <c r="B9" s="14" t="n">
        <v>1</v>
      </c>
      <c r="C9" s="3" t="n">
        <f aca="false">(SUM(C20:I20)+Assumptions!$B$7+Assumptions!$B$9-Assumptions!$B$8)/Assumptions!$B$10</f>
        <v>0.782438920148097</v>
      </c>
      <c r="D9" s="3" t="n">
        <f aca="false">(SUM(C21:I21)+Assumptions!$B$7+Assumptions!$B$9-Assumptions!$B$8)/Assumptions!$B$10</f>
        <v>0.764748707756854</v>
      </c>
      <c r="E9" s="3" t="n">
        <f aca="false">(SUM(C22:I22)+Assumptions!$B$7+Assumptions!$B$9-Assumptions!$B$8)/Assumptions!$B$10</f>
        <v>0.748389727742371</v>
      </c>
    </row>
    <row r="10" customFormat="false" ht="22.5" hidden="false" customHeight="true" outlineLevel="0" collapsed="false">
      <c r="B10" s="14" t="n">
        <v>1.2</v>
      </c>
      <c r="C10" s="3" t="n">
        <f aca="false">(SUM(C23:I23)+Assumptions!$B$7+Assumptions!$B$9-Assumptions!$B$8)/Assumptions!$B$10</f>
        <v>1.00429577242446</v>
      </c>
      <c r="D10" s="3" t="n">
        <f aca="false">(SUM(C24:I24)+Assumptions!$B$7+Assumptions!$B$9-Assumptions!$B$8)/Assumptions!$B$10</f>
        <v>0.975221700636686</v>
      </c>
      <c r="E10" s="3" t="n">
        <f aca="false">(SUM(C25:I25)+Assumptions!$B$7+Assumptions!$B$9-Assumptions!$B$8)/Assumptions!$B$10</f>
        <v>0.948379938344897</v>
      </c>
    </row>
    <row r="15" customFormat="false" ht="22.5" hidden="false" customHeight="true" outlineLevel="0" collapsed="false">
      <c r="A15" s="8" t="s">
        <v>204</v>
      </c>
    </row>
    <row r="17" customFormat="false" ht="22.5" hidden="false" customHeight="true" outlineLevel="0" collapsed="false">
      <c r="A17" s="11" t="s">
        <v>205</v>
      </c>
      <c r="C17" s="16"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22867285.7905983</v>
      </c>
      <c r="D17" s="16"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37784727.7949246</v>
      </c>
      <c r="E17" s="16"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f>
        <v>34985859.0693746</v>
      </c>
      <c r="F17" s="16"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f>
        <v>32394313.9531246</v>
      </c>
      <c r="G17" s="16"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f>
        <v>-4034424.7099056</v>
      </c>
      <c r="H17" s="16"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f>
        <v>0</v>
      </c>
      <c r="I17" s="16"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f>
        <v>0</v>
      </c>
    </row>
    <row r="18" customFormat="false" ht="22.5" hidden="false" customHeight="true" outlineLevel="0" collapsed="false">
      <c r="A18" s="11" t="s">
        <v>206</v>
      </c>
      <c r="C18" s="16"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22451516.958042</v>
      </c>
      <c r="D18" s="16"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36423228.5123967</v>
      </c>
      <c r="E18" s="16"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f>
        <v>33112025.9203606</v>
      </c>
      <c r="F18" s="16"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f>
        <v>30101841.7457824</v>
      </c>
      <c r="G18" s="16"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f>
        <v>-3680755.47497376</v>
      </c>
      <c r="H18" s="16"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f>
        <v>0</v>
      </c>
      <c r="I18" s="16"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f>
        <v>0</v>
      </c>
    </row>
    <row r="19" customFormat="false" ht="22.5" hidden="false" customHeight="true" outlineLevel="0" collapsed="false">
      <c r="A19" s="11" t="s">
        <v>207</v>
      </c>
      <c r="C19" s="16"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22050597.0123627</v>
      </c>
      <c r="D19" s="16"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35134013.4725765</v>
      </c>
      <c r="E19" s="16"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f>
        <v>31369654.886229</v>
      </c>
      <c r="F19" s="16"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f>
        <v>28008620.4341331</v>
      </c>
      <c r="G19" s="16"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f>
        <v>-3363645.96973972</v>
      </c>
      <c r="H19" s="16"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f>
        <v>0</v>
      </c>
      <c r="I19" s="16"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f>
        <v>0</v>
      </c>
    </row>
    <row r="20" customFormat="false" ht="22.5" hidden="false" customHeight="true" outlineLevel="0" collapsed="false">
      <c r="A20" s="11" t="s">
        <v>208</v>
      </c>
      <c r="C20" s="16"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65026803.3262109</v>
      </c>
      <c r="D20" s="16"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80974146.8621399</v>
      </c>
      <c r="E20" s="16"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f>
        <v>74976061.9093888</v>
      </c>
      <c r="F20" s="16"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f>
        <v>69422279.5457304</v>
      </c>
      <c r="G20" s="16"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f>
        <v>30250728.6165812</v>
      </c>
      <c r="H20" s="16"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f>
        <v>0</v>
      </c>
      <c r="I20" s="16"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f>
        <v>0</v>
      </c>
    </row>
    <row r="21" customFormat="false" ht="22.5" hidden="false" customHeight="true" outlineLevel="0" collapsed="false">
      <c r="A21" s="11" t="s">
        <v>209</v>
      </c>
      <c r="C21" s="16"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63844497.8111889</v>
      </c>
      <c r="D21" s="16"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78056400.7438016</v>
      </c>
      <c r="E21" s="16"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f>
        <v>70960364.3125469</v>
      </c>
      <c r="F21" s="16"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f>
        <v>64509422.1023154</v>
      </c>
      <c r="G21" s="16"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f>
        <v>27598863.0309653</v>
      </c>
      <c r="H21" s="16"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f>
        <v>0</v>
      </c>
      <c r="I21" s="16"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f>
        <v>0</v>
      </c>
    </row>
    <row r="22" customFormat="false" ht="22.5" hidden="false" customHeight="true" outlineLevel="0" collapsed="false">
      <c r="A22" s="11" t="s">
        <v>210</v>
      </c>
      <c r="C22" s="16"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62704417.4931319</v>
      </c>
      <c r="D22" s="16"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75293562.5797194</v>
      </c>
      <c r="E22" s="16"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f>
        <v>67226395.1604637</v>
      </c>
      <c r="F22" s="16"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f>
        <v>60023567.1075569</v>
      </c>
      <c r="G22" s="16"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f>
        <v>25221127.8458173</v>
      </c>
      <c r="H22" s="16"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f>
        <v>0</v>
      </c>
      <c r="I22" s="16"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f>
        <v>0</v>
      </c>
    </row>
    <row r="23" customFormat="false" ht="22.5" hidden="false" customHeight="true" outlineLevel="0" collapsed="false">
      <c r="A23" s="11" t="s">
        <v>211</v>
      </c>
      <c r="C23" s="16"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107186320.861823</v>
      </c>
      <c r="D23" s="16"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124163565.929355</v>
      </c>
      <c r="E23" s="16"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f>
        <v>114966264.749403</v>
      </c>
      <c r="F23" s="16"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f>
        <v>106450245.138336</v>
      </c>
      <c r="G23" s="16"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f>
        <v>64535881.943068</v>
      </c>
      <c r="H23" s="16"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f>
        <v>0</v>
      </c>
      <c r="I23" s="16"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f>
        <v>0</v>
      </c>
    </row>
    <row r="24" customFormat="false" ht="22.5" hidden="false" customHeight="true" outlineLevel="0" collapsed="false">
      <c r="A24" s="11" t="s">
        <v>212</v>
      </c>
      <c r="C24" s="16"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105237478.664336</v>
      </c>
      <c r="D24" s="16"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119689572.975207</v>
      </c>
      <c r="E24" s="16"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f>
        <v>108808702.704733</v>
      </c>
      <c r="F24" s="16"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f>
        <v>98917002.4588484</v>
      </c>
      <c r="G24" s="16"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f>
        <v>58878481.5369045</v>
      </c>
      <c r="H24" s="16"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f>
        <v>0</v>
      </c>
      <c r="I24" s="16"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f>
        <v>0</v>
      </c>
    </row>
    <row r="25" customFormat="false" ht="22.5" hidden="false" customHeight="true" outlineLevel="0" collapsed="false">
      <c r="A25" s="11" t="s">
        <v>213</v>
      </c>
      <c r="C25" s="16"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103358237.973901</v>
      </c>
      <c r="D25" s="16"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115453111.686862</v>
      </c>
      <c r="E25" s="16"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f>
        <v>103083135.434698</v>
      </c>
      <c r="F25" s="16"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f>
        <v>92038513.7809807</v>
      </c>
      <c r="G25" s="16"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f>
        <v>53805901.6613743</v>
      </c>
      <c r="H25" s="16"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f>
        <v>0</v>
      </c>
      <c r="I25" s="16"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f>
        <v>0</v>
      </c>
    </row>
  </sheetData>
  <mergeCells count="2">
    <mergeCell ref="A1:I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Sensitivities&amp;RPage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214</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215</v>
      </c>
      <c r="B5" s="14" t="str">
        <f aca="false">IF(OR(Assumptions!B4="bear",Assumptions!B4="base",Assumptions!B4="bull"),"PASS","FAIL")</f>
        <v>PASS</v>
      </c>
    </row>
    <row r="6" customFormat="false" ht="22.5" hidden="false" customHeight="true" outlineLevel="0" collapsed="false">
      <c r="A6" s="7" t="s">
        <v>216</v>
      </c>
      <c r="B6" s="14" t="str">
        <f aca="false">IF(Assumptions!$B$10&gt;0,"PASS","FAIL")</f>
        <v>PASS</v>
      </c>
    </row>
    <row r="7" customFormat="false" ht="22.5" hidden="false" customHeight="true" outlineLevel="0" collapsed="false">
      <c r="A7" s="7" t="s">
        <v>217</v>
      </c>
      <c r="B7" s="14" t="str">
        <f aca="false">IF(ABS(Valuation!B9-(Valuation!B5+Valuation!B6+Valuation!B7-Valuation!B8))&lt;0.01,"PASS","FAIL")</f>
        <v>PASS</v>
      </c>
    </row>
    <row r="8" customFormat="false" ht="22.5" hidden="false" customHeight="true" outlineLevel="0" collapsed="false">
      <c r="A8" s="7" t="s">
        <v>218</v>
      </c>
      <c r="B8" s="14" t="str">
        <f aca="false">IF(ABS(Sensitivities!D9-Valuation!B11)&lt;0.000001,"PASS","FAIL")</f>
        <v>PASS</v>
      </c>
    </row>
    <row r="9" customFormat="false" ht="22.5" hidden="false" customHeight="true" outlineLevel="0" collapsed="false">
      <c r="A9" s="7" t="s">
        <v>219</v>
      </c>
      <c r="B9" s="14" t="str">
        <f aca="false">IF(OR(AND(Assumptions!$B$11="",Assumptions!$B$13=""),AND(ISNUMBER(Assumptions!$B$11),Assumptions!$B$11&gt;0,Assumptions!$B$13&lt;&gt;"")),"PASS","FAIL")</f>
        <v>PASS</v>
      </c>
    </row>
    <row r="10" customFormat="false" ht="22.5" hidden="false" customHeight="true" outlineLevel="0" collapsed="false">
      <c r="A10" s="7" t="s">
        <v>220</v>
      </c>
      <c r="B10" s="14" t="str">
        <f aca="false">IF(AND(Operating!$B$5&gt;=0,Operating!$B$5&lt;=1),"PASS","FAIL")</f>
        <v>PASS</v>
      </c>
    </row>
    <row r="13" customFormat="false" ht="22.5" hidden="false" customHeight="true" outlineLevel="0" collapsed="false">
      <c r="A13" s="6" t="s">
        <v>221</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I2"/>
    <mergeCell ref="A13:F15"/>
  </mergeCells>
  <conditionalFormatting sqref="B5:B10">
    <cfRule type="containsText" priority="2" operator="containsText" aboveAverage="0" equalAverage="0" bottom="0" percent="0" rank="0" text="PASS" dxfId="6">
      <formula>NOT(ISERROR(SEARCH("PASS",B5)))</formula>
    </cfRule>
    <cfRule type="containsText" priority="3" operator="containsText" aboveAverage="0" equalAverage="0" bottom="0" percent="0" rank="0" text="FAIL" dxfId="7">
      <formula>NOT(ISERROR(SEARCH("FAIL",B5)))</formula>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Checks&amp;RPage &amp;P of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9" min="1" style="0" width="12.71"/>
  </cols>
  <sheetData>
    <row r="1" customFormat="false" ht="22.5" hidden="false" customHeight="true" outlineLevel="0" collapsed="false">
      <c r="A1" s="1" t="s">
        <v>222</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5" t="s">
        <v>223</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224</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225</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226</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227</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228</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229</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230</v>
      </c>
      <c r="B33" s="2"/>
      <c r="C33" s="2"/>
      <c r="D33" s="2"/>
      <c r="E33" s="2"/>
      <c r="F33" s="2"/>
      <c r="G33" s="2"/>
      <c r="H33" s="2"/>
    </row>
    <row r="35" customFormat="false" ht="22.5" hidden="false" customHeight="true" outlineLevel="0" collapsed="false">
      <c r="A35" s="5" t="s">
        <v>231</v>
      </c>
      <c r="B35" s="5"/>
      <c r="C35" s="5"/>
      <c r="D35" s="5"/>
      <c r="E35" s="5"/>
      <c r="F35" s="5"/>
      <c r="G35" s="5"/>
      <c r="H35" s="5"/>
    </row>
    <row r="36" customFormat="false" ht="22.5" hidden="false" customHeight="true" outlineLevel="0" collapsed="false">
      <c r="A36" s="5"/>
      <c r="B36" s="5"/>
      <c r="C36" s="5"/>
      <c r="D36" s="5"/>
      <c r="E36" s="5"/>
      <c r="F36" s="5"/>
      <c r="G36" s="5"/>
      <c r="H36" s="5"/>
    </row>
    <row r="37" customFormat="false" ht="22.5" hidden="false" customHeight="true" outlineLevel="0" collapsed="false">
      <c r="A37" s="5"/>
      <c r="B37" s="5"/>
      <c r="C37" s="5"/>
      <c r="D37" s="5"/>
      <c r="E37" s="5"/>
      <c r="F37" s="5"/>
      <c r="G37" s="5"/>
      <c r="H37" s="5"/>
    </row>
    <row r="39" customFormat="false" ht="22.5" hidden="false" customHeight="true" outlineLevel="0" collapsed="false">
      <c r="A39" s="5" t="s">
        <v>232</v>
      </c>
      <c r="B39" s="5"/>
      <c r="C39" s="5"/>
      <c r="D39" s="5"/>
      <c r="E39" s="5"/>
      <c r="F39" s="5"/>
      <c r="G39" s="5"/>
      <c r="H39" s="5"/>
    </row>
    <row r="40" customFormat="false" ht="22.5" hidden="false" customHeight="true" outlineLevel="0" collapsed="false">
      <c r="A40" s="5"/>
      <c r="B40" s="5"/>
      <c r="C40" s="5"/>
      <c r="D40" s="5"/>
      <c r="E40" s="5"/>
      <c r="F40" s="5"/>
      <c r="G40" s="5"/>
      <c r="H40" s="5"/>
    </row>
    <row r="41" customFormat="false" ht="22.5" hidden="false" customHeight="true" outlineLevel="0" collapsed="false">
      <c r="A41" s="5"/>
      <c r="B41" s="5"/>
      <c r="C41" s="5"/>
      <c r="D41" s="5"/>
      <c r="E41" s="5"/>
      <c r="F41" s="5"/>
      <c r="G41" s="5"/>
      <c r="H41" s="5"/>
    </row>
    <row r="43" customFormat="false" ht="22.5" hidden="false" customHeight="true" outlineLevel="0" collapsed="false">
      <c r="A43" s="5" t="s">
        <v>233</v>
      </c>
      <c r="B43" s="5"/>
      <c r="C43" s="5"/>
      <c r="D43" s="5"/>
      <c r="E43" s="5"/>
      <c r="F43" s="5"/>
      <c r="G43" s="5"/>
      <c r="H43" s="5"/>
    </row>
    <row r="44" customFormat="false" ht="22.5" hidden="false" customHeight="true" outlineLevel="0" collapsed="false">
      <c r="A44" s="5"/>
      <c r="B44" s="5"/>
      <c r="C44" s="5"/>
      <c r="D44" s="5"/>
      <c r="E44" s="5"/>
      <c r="F44" s="5"/>
      <c r="G44" s="5"/>
      <c r="H44" s="5"/>
    </row>
    <row r="45" customFormat="false" ht="22.5" hidden="false" customHeight="true" outlineLevel="0" collapsed="false">
      <c r="A45" s="5"/>
      <c r="B45" s="5"/>
      <c r="C45" s="5"/>
      <c r="D45" s="5"/>
      <c r="E45" s="5"/>
      <c r="F45" s="5"/>
      <c r="G45" s="5"/>
      <c r="H45" s="5"/>
    </row>
    <row r="47" customFormat="false" ht="22.5" hidden="false" customHeight="true" outlineLevel="0" collapsed="false">
      <c r="A47" s="5" t="s">
        <v>234</v>
      </c>
      <c r="B47" s="5"/>
      <c r="C47" s="5"/>
      <c r="D47" s="5"/>
      <c r="E47" s="5"/>
      <c r="F47" s="5"/>
      <c r="G47" s="5"/>
      <c r="H47" s="5"/>
    </row>
    <row r="48" customFormat="false" ht="22.5" hidden="false" customHeight="true" outlineLevel="0" collapsed="false">
      <c r="A48" s="5"/>
      <c r="B48" s="5"/>
      <c r="C48" s="5"/>
      <c r="D48" s="5"/>
      <c r="E48" s="5"/>
      <c r="F48" s="5"/>
      <c r="G48" s="5"/>
      <c r="H48" s="5"/>
    </row>
    <row r="49" customFormat="false" ht="22.5" hidden="false" customHeight="true" outlineLevel="0" collapsed="false">
      <c r="A49" s="5"/>
      <c r="B49" s="5"/>
      <c r="C49" s="5"/>
      <c r="D49" s="5"/>
      <c r="E49" s="5"/>
      <c r="F49" s="5"/>
      <c r="G49" s="5"/>
      <c r="H49" s="5"/>
    </row>
    <row r="51" customFormat="false" ht="22.5" hidden="false" customHeight="true" outlineLevel="0" collapsed="false">
      <c r="A51" s="5" t="s">
        <v>235</v>
      </c>
      <c r="B51" s="5"/>
      <c r="C51" s="5"/>
      <c r="D51" s="5"/>
      <c r="E51" s="5"/>
      <c r="F51" s="5"/>
      <c r="G51" s="5"/>
      <c r="H51" s="5"/>
    </row>
    <row r="52" customFormat="false" ht="22.5" hidden="false" customHeight="true" outlineLevel="0" collapsed="false">
      <c r="A52" s="5"/>
      <c r="B52" s="5"/>
      <c r="C52" s="5"/>
      <c r="D52" s="5"/>
      <c r="E52" s="5"/>
      <c r="F52" s="5"/>
      <c r="G52" s="5"/>
      <c r="H52" s="5"/>
    </row>
    <row r="53" customFormat="false" ht="22.5" hidden="false" customHeight="true" outlineLevel="0" collapsed="false">
      <c r="A53" s="5"/>
      <c r="B53" s="5"/>
      <c r="C53" s="5"/>
      <c r="D53" s="5"/>
      <c r="E53" s="5"/>
      <c r="F53" s="5"/>
      <c r="G53" s="5"/>
      <c r="H53" s="5"/>
    </row>
    <row r="55" customFormat="false" ht="22.5" hidden="false" customHeight="true" outlineLevel="0" collapsed="false">
      <c r="A55" s="5" t="s">
        <v>236</v>
      </c>
      <c r="B55" s="5"/>
      <c r="C55" s="5"/>
      <c r="D55" s="5"/>
      <c r="E55" s="5"/>
      <c r="F55" s="5"/>
      <c r="G55" s="5"/>
      <c r="H55" s="5"/>
    </row>
    <row r="56" customFormat="false" ht="22.5" hidden="false" customHeight="true" outlineLevel="0" collapsed="false">
      <c r="A56" s="5"/>
      <c r="B56" s="5"/>
      <c r="C56" s="5"/>
      <c r="D56" s="5"/>
      <c r="E56" s="5"/>
      <c r="F56" s="5"/>
      <c r="G56" s="5"/>
      <c r="H56" s="5"/>
    </row>
    <row r="57" customFormat="false" ht="22.5" hidden="false" customHeight="true" outlineLevel="0" collapsed="false">
      <c r="A57" s="5"/>
      <c r="B57" s="5"/>
      <c r="C57" s="5"/>
      <c r="D57" s="5"/>
      <c r="E57" s="5"/>
      <c r="F57" s="5"/>
      <c r="G57" s="5"/>
      <c r="H57" s="5"/>
    </row>
    <row r="59" customFormat="false" ht="22.5" hidden="false" customHeight="true" outlineLevel="0" collapsed="false">
      <c r="A59" s="5" t="s">
        <v>237</v>
      </c>
      <c r="B59" s="5"/>
      <c r="C59" s="5"/>
      <c r="D59" s="5"/>
      <c r="E59" s="5"/>
      <c r="F59" s="5"/>
      <c r="G59" s="5"/>
      <c r="H59" s="5"/>
    </row>
    <row r="60" customFormat="false" ht="22.5" hidden="false" customHeight="true" outlineLevel="0" collapsed="false">
      <c r="A60" s="5"/>
      <c r="B60" s="5"/>
      <c r="C60" s="5"/>
      <c r="D60" s="5"/>
      <c r="E60" s="5"/>
      <c r="F60" s="5"/>
      <c r="G60" s="5"/>
      <c r="H60" s="5"/>
    </row>
    <row r="61" customFormat="false" ht="22.5" hidden="false" customHeight="true" outlineLevel="0" collapsed="false">
      <c r="A61" s="5"/>
      <c r="B61" s="5"/>
      <c r="C61" s="5"/>
      <c r="D61" s="5"/>
      <c r="E61" s="5"/>
      <c r="F61" s="5"/>
      <c r="G61" s="5"/>
      <c r="H61" s="5"/>
    </row>
    <row r="63" customFormat="false" ht="22.5" hidden="false" customHeight="true" outlineLevel="0" collapsed="false">
      <c r="A63" s="5" t="s">
        <v>238</v>
      </c>
      <c r="B63" s="5"/>
      <c r="C63" s="5"/>
      <c r="D63" s="5"/>
      <c r="E63" s="5"/>
      <c r="F63" s="5"/>
      <c r="G63" s="5"/>
      <c r="H63" s="5"/>
    </row>
    <row r="64" customFormat="false" ht="22.5" hidden="false" customHeight="true" outlineLevel="0" collapsed="false">
      <c r="A64" s="5"/>
      <c r="B64" s="5"/>
      <c r="C64" s="5"/>
      <c r="D64" s="5"/>
      <c r="E64" s="5"/>
      <c r="F64" s="5"/>
      <c r="G64" s="5"/>
      <c r="H64" s="5"/>
    </row>
    <row r="65" customFormat="false" ht="22.5" hidden="false" customHeight="true" outlineLevel="0" collapsed="false">
      <c r="A65" s="5"/>
      <c r="B65" s="5"/>
      <c r="C65" s="5"/>
      <c r="D65" s="5"/>
      <c r="E65" s="5"/>
      <c r="F65" s="5"/>
      <c r="G65" s="5"/>
      <c r="H65" s="5"/>
    </row>
    <row r="67" customFormat="false" ht="22.5" hidden="false" customHeight="true" outlineLevel="0" collapsed="false">
      <c r="A67" s="5" t="s">
        <v>239</v>
      </c>
      <c r="B67" s="5"/>
      <c r="C67" s="5"/>
      <c r="D67" s="5"/>
      <c r="E67" s="5"/>
      <c r="F67" s="5"/>
      <c r="G67" s="5"/>
      <c r="H67" s="5"/>
    </row>
    <row r="68" customFormat="false" ht="22.5" hidden="false" customHeight="true" outlineLevel="0" collapsed="false">
      <c r="A68" s="5"/>
      <c r="B68" s="5"/>
      <c r="C68" s="5"/>
      <c r="D68" s="5"/>
      <c r="E68" s="5"/>
      <c r="F68" s="5"/>
      <c r="G68" s="5"/>
      <c r="H68" s="5"/>
    </row>
    <row r="69" customFormat="false" ht="22.5" hidden="false" customHeight="true" outlineLevel="0" collapsed="false">
      <c r="A69" s="5"/>
      <c r="B69" s="5"/>
      <c r="C69" s="5"/>
      <c r="D69" s="5"/>
      <c r="E69" s="5"/>
      <c r="F69" s="5"/>
      <c r="G69" s="5"/>
      <c r="H69" s="5"/>
    </row>
    <row r="71" customFormat="false" ht="22.5" hidden="false" customHeight="true" outlineLevel="0" collapsed="false">
      <c r="A71" s="5" t="s">
        <v>240</v>
      </c>
      <c r="B71" s="5"/>
      <c r="C71" s="5"/>
      <c r="D71" s="5"/>
      <c r="E71" s="5"/>
      <c r="F71" s="5"/>
      <c r="G71" s="5"/>
      <c r="H71" s="5"/>
    </row>
    <row r="72" customFormat="false" ht="22.5" hidden="false" customHeight="true" outlineLevel="0" collapsed="false">
      <c r="A72" s="5"/>
      <c r="B72" s="5"/>
      <c r="C72" s="5"/>
      <c r="D72" s="5"/>
      <c r="E72" s="5"/>
      <c r="F72" s="5"/>
      <c r="G72" s="5"/>
      <c r="H72" s="5"/>
    </row>
    <row r="73" customFormat="false" ht="22.5" hidden="false" customHeight="true" outlineLevel="0" collapsed="false">
      <c r="A73" s="5"/>
      <c r="B73" s="5"/>
      <c r="C73" s="5"/>
      <c r="D73" s="5"/>
      <c r="E73" s="5"/>
      <c r="F73" s="5"/>
      <c r="G73" s="5"/>
      <c r="H73" s="5"/>
    </row>
    <row r="75" customFormat="false" ht="22.5" hidden="false" customHeight="true" outlineLevel="0" collapsed="false">
      <c r="A75" s="5" t="s">
        <v>241</v>
      </c>
      <c r="B75" s="5"/>
      <c r="C75" s="5"/>
      <c r="D75" s="5"/>
      <c r="E75" s="5"/>
      <c r="F75" s="5"/>
      <c r="G75" s="5"/>
      <c r="H75" s="5"/>
    </row>
    <row r="76" customFormat="false" ht="22.5" hidden="false" customHeight="true" outlineLevel="0" collapsed="false">
      <c r="A76" s="5"/>
      <c r="B76" s="5"/>
      <c r="C76" s="5"/>
      <c r="D76" s="5"/>
      <c r="E76" s="5"/>
      <c r="F76" s="5"/>
      <c r="G76" s="5"/>
      <c r="H76" s="5"/>
    </row>
    <row r="77" customFormat="false" ht="22.5" hidden="false" customHeight="true" outlineLevel="0" collapsed="false">
      <c r="A77" s="5"/>
      <c r="B77" s="5"/>
      <c r="C77" s="5"/>
      <c r="D77" s="5"/>
      <c r="E77" s="5"/>
      <c r="F77" s="5"/>
      <c r="G77" s="5"/>
      <c r="H77" s="5"/>
    </row>
    <row r="79" customFormat="false" ht="22.5" hidden="false" customHeight="true" outlineLevel="0" collapsed="false">
      <c r="A79" s="5" t="s">
        <v>242</v>
      </c>
      <c r="B79" s="5"/>
      <c r="C79" s="5"/>
      <c r="D79" s="5"/>
      <c r="E79" s="5"/>
      <c r="F79" s="5"/>
      <c r="G79" s="5"/>
      <c r="H79" s="5"/>
    </row>
    <row r="80" customFormat="false" ht="22.5" hidden="false" customHeight="true" outlineLevel="0" collapsed="false">
      <c r="A80" s="5"/>
      <c r="B80" s="5"/>
      <c r="C80" s="5"/>
      <c r="D80" s="5"/>
      <c r="E80" s="5"/>
      <c r="F80" s="5"/>
      <c r="G80" s="5"/>
      <c r="H80" s="5"/>
    </row>
    <row r="81" customFormat="false" ht="22.5" hidden="false" customHeight="true" outlineLevel="0" collapsed="false">
      <c r="A81" s="5"/>
      <c r="B81" s="5"/>
      <c r="C81" s="5"/>
      <c r="D81" s="5"/>
      <c r="E81" s="5"/>
      <c r="F81" s="5"/>
      <c r="G81" s="5"/>
      <c r="H81" s="5"/>
    </row>
    <row r="83" customFormat="false" ht="22.5" hidden="false" customHeight="true" outlineLevel="0" collapsed="false">
      <c r="A83" s="5" t="s">
        <v>243</v>
      </c>
      <c r="B83" s="5"/>
      <c r="C83" s="5"/>
      <c r="D83" s="5"/>
      <c r="E83" s="5"/>
      <c r="F83" s="5"/>
      <c r="G83" s="5"/>
      <c r="H83" s="5"/>
    </row>
    <row r="84" customFormat="false" ht="22.5" hidden="false" customHeight="true" outlineLevel="0" collapsed="false">
      <c r="A84" s="5"/>
      <c r="B84" s="5"/>
      <c r="C84" s="5"/>
      <c r="D84" s="5"/>
      <c r="E84" s="5"/>
      <c r="F84" s="5"/>
      <c r="G84" s="5"/>
      <c r="H84" s="5"/>
    </row>
    <row r="85" customFormat="false" ht="22.5" hidden="false" customHeight="true" outlineLevel="0" collapsed="false">
      <c r="A85" s="5"/>
      <c r="B85" s="5"/>
      <c r="C85" s="5"/>
      <c r="D85" s="5"/>
      <c r="E85" s="5"/>
      <c r="F85" s="5"/>
      <c r="G85" s="5"/>
      <c r="H85" s="5"/>
    </row>
    <row r="87" customFormat="false" ht="22.5" hidden="false" customHeight="true" outlineLevel="0" collapsed="false">
      <c r="A87" s="5" t="s">
        <v>244</v>
      </c>
      <c r="B87" s="5"/>
      <c r="C87" s="5"/>
      <c r="D87" s="5"/>
      <c r="E87" s="5"/>
      <c r="F87" s="5"/>
      <c r="G87" s="5"/>
      <c r="H87" s="5"/>
    </row>
    <row r="88" customFormat="false" ht="22.5" hidden="false" customHeight="true" outlineLevel="0" collapsed="false">
      <c r="A88" s="5"/>
      <c r="B88" s="5"/>
      <c r="C88" s="5"/>
      <c r="D88" s="5"/>
      <c r="E88" s="5"/>
      <c r="F88" s="5"/>
      <c r="G88" s="5"/>
      <c r="H88" s="5"/>
    </row>
    <row r="89" customFormat="false" ht="22.5" hidden="false" customHeight="true" outlineLevel="0" collapsed="false">
      <c r="A89" s="5"/>
      <c r="B89" s="5"/>
      <c r="C89" s="5"/>
      <c r="D89" s="5"/>
      <c r="E89" s="5"/>
      <c r="F89" s="5"/>
      <c r="G89" s="5"/>
      <c r="H89" s="5"/>
    </row>
    <row r="91" customFormat="false" ht="22.5" hidden="false" customHeight="true" outlineLevel="0" collapsed="false">
      <c r="A91" s="5" t="s">
        <v>245</v>
      </c>
      <c r="B91" s="5"/>
      <c r="C91" s="5"/>
      <c r="D91" s="5"/>
      <c r="E91" s="5"/>
      <c r="F91" s="5"/>
      <c r="G91" s="5"/>
      <c r="H91" s="5"/>
    </row>
    <row r="92" customFormat="false" ht="22.5" hidden="false" customHeight="true" outlineLevel="0" collapsed="false">
      <c r="A92" s="5"/>
      <c r="B92" s="5"/>
      <c r="C92" s="5"/>
      <c r="D92" s="5"/>
      <c r="E92" s="5"/>
      <c r="F92" s="5"/>
      <c r="G92" s="5"/>
      <c r="H92" s="5"/>
    </row>
    <row r="93" customFormat="false" ht="22.5" hidden="false" customHeight="true" outlineLevel="0" collapsed="false">
      <c r="A93" s="5"/>
      <c r="B93" s="5"/>
      <c r="C93" s="5"/>
      <c r="D93" s="5"/>
      <c r="E93" s="5"/>
      <c r="F93" s="5"/>
      <c r="G93" s="5"/>
      <c r="H93" s="5"/>
    </row>
  </sheetData>
  <mergeCells count="24">
    <mergeCell ref="A1:I2"/>
    <mergeCell ref="A5:H7"/>
    <mergeCell ref="A9:H11"/>
    <mergeCell ref="A13:H15"/>
    <mergeCell ref="A17:H19"/>
    <mergeCell ref="A21:H23"/>
    <mergeCell ref="A25:H27"/>
    <mergeCell ref="A29:H31"/>
    <mergeCell ref="A33:H33"/>
    <mergeCell ref="A35:H37"/>
    <mergeCell ref="A39:H41"/>
    <mergeCell ref="A43:H45"/>
    <mergeCell ref="A47:H49"/>
    <mergeCell ref="A51:H53"/>
    <mergeCell ref="A55:H57"/>
    <mergeCell ref="A59:H61"/>
    <mergeCell ref="A63:H65"/>
    <mergeCell ref="A67:H69"/>
    <mergeCell ref="A71:H73"/>
    <mergeCell ref="A75:H77"/>
    <mergeCell ref="A79:H81"/>
    <mergeCell ref="A83:H85"/>
    <mergeCell ref="A87:H89"/>
    <mergeCell ref="A91:H93"/>
  </mergeCells>
  <printOptions headings="false" gridLines="false" gridLinesSet="true" horizontalCentered="false" verticalCentered="false"/>
  <pageMargins left="0.3" right="0.3" top="0.4" bottom="0.4" header="0.511811023622047" footer="0.2"/>
  <pageSetup paperSize="9" scale="100" fitToWidth="1" fitToHeight="0" pageOrder="downThenOver" orientation="portrait" blackAndWhite="false" draft="false" cellComments="none" horizontalDpi="300" verticalDpi="300" copies="1"/>
  <headerFooter differentFirst="false" differentOddEven="false">
    <oddHeader/>
    <oddFooter>&amp;Lasx-mlx | Readme&amp;RPage &amp;P of &amp;N</oddFooter>
  </headerFooter>
  <rowBreaks count="2" manualBreakCount="2">
    <brk id="32" man="true" max="16383" min="0"/>
    <brk id="66" man="true" max="16383" min="0"/>
  </row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7" t="s">
        <v>246</v>
      </c>
    </row>
    <row r="2" customFormat="false" ht="22.5" hidden="false" customHeight="true" outlineLevel="0" collapsed="false">
      <c r="A2" s="7" t="s">
        <v>247</v>
      </c>
    </row>
    <row r="3" customFormat="false" ht="22.5" hidden="false" customHeight="true" outlineLevel="0" collapsed="false">
      <c r="A3" s="7" t="s">
        <v>248</v>
      </c>
    </row>
    <row r="4" customFormat="false" ht="22.5" hidden="false" customHeight="true" outlineLevel="0" collapsed="false">
      <c r="A4" s="7" t="s">
        <v>249</v>
      </c>
    </row>
    <row r="5" customFormat="false" ht="22.5" hidden="false" customHeight="true" outlineLevel="0" collapsed="false">
      <c r="A5" s="7" t="s">
        <v>250</v>
      </c>
    </row>
    <row r="6" customFormat="false" ht="22.5" hidden="false" customHeight="true" outlineLevel="0" collapsed="false">
      <c r="A6" s="7" t="s">
        <v>251</v>
      </c>
    </row>
    <row r="7" customFormat="false" ht="22.5" hidden="false" customHeight="true" outlineLevel="0" collapsed="false">
      <c r="A7" s="7" t="s">
        <v>252</v>
      </c>
    </row>
    <row r="8" customFormat="false" ht="22.5" hidden="false" customHeight="true" outlineLevel="0" collapsed="false">
      <c r="A8" s="7" t="s">
        <v>253</v>
      </c>
    </row>
  </sheetData>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2026-09-20T05:47:41Z</dcterms:created>
  <dc:creator>Investing Research</dc:creator>
  <dc:description/>
  <dc:language>en-US</dc:language>
  <cp:lastModifiedBy>Investing Research</cp:lastModifiedBy>
  <dcterms:modified xsi:type="dcterms:W3CDTF">2026-09-20T05:47:44Z</dcterms:modified>
  <cp:revision>0</cp:revision>
  <dc:subject/>
  <dc:title>asx-mlx | investment model</dc:title>
</cp:coreProperties>
</file>

<file path=docProps/custom.xml><?xml version="1.0" encoding="utf-8"?>
<Properties xmlns="http://schemas.openxmlformats.org/officeDocument/2006/custom-properties" xmlns:vt="http://schemas.openxmlformats.org/officeDocument/2006/docPropsVTypes"/>
</file>