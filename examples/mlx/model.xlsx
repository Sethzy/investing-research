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ummary" sheetId="1" state="visible" r:id="rId3"/>
    <sheet name="Assumptions" sheetId="2" state="visible" r:id="rId4"/>
    <sheet name="Historical" sheetId="3" state="visible" r:id="rId5"/>
    <sheet name="Operating" sheetId="4" state="visible" r:id="rId6"/>
    <sheet name="Valuation" sheetId="5" state="visible" r:id="rId7"/>
    <sheet name="Sensitivities" sheetId="6" state="visible" r:id="rId8"/>
    <sheet name="Checks" sheetId="7" state="visible" r:id="rId9"/>
    <sheet name="Readme" sheetId="8" state="visible" r:id="rId10"/>
    <sheet name="_Model" sheetId="9" state="hidden" r:id="rId11"/>
  </sheets>
  <definedNames>
    <definedName function="false" hidden="false" localSheetId="1" name="_xlnm.Print_Area" vbProcedure="false">Assumptions!$A$1:$I$74</definedName>
    <definedName function="false" hidden="false" localSheetId="6" name="_xlnm.Print_Area" vbProcedure="false">Checks!$A$1:$I$46</definedName>
    <definedName function="false" hidden="false" localSheetId="2" name="_xlnm.Print_Area" vbProcedure="false">Historical!$A$1:$I$79</definedName>
    <definedName function="false" hidden="false" localSheetId="2" name="_xlnm.Print_Titles" vbProcedure="false">Historical!$1:$6</definedName>
    <definedName function="false" hidden="true" localSheetId="2" name="_xlnm._FilterDatabase" vbProcedure="false">Historical!$A$6:$I$79</definedName>
    <definedName function="false" hidden="false" localSheetId="3" name="_xlnm.Print_Area" vbProcedure="false">Operating!$A$1:$I$36</definedName>
    <definedName function="false" hidden="false" localSheetId="7" name="_xlnm.Print_Area" vbProcedure="false">Readme!$A$1:$H$89</definedName>
    <definedName function="false" hidden="false" localSheetId="5" name="_xlnm.Print_Area" vbProcedure="false">Sensitivities!$A$1:$I$46</definedName>
    <definedName function="false" hidden="false" localSheetId="0" name="_xlnm.Print_Area" vbProcedure="false">Summary!$A$1:$I$36</definedName>
    <definedName function="false" hidden="false" localSheetId="4" name="_xlnm.Print_Area" vbProcedure="false">Valuation!$A$1:$I$46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None</author>
  </authors>
  <commentList>
    <comment ref="B7" authorId="0">
      <text>
        <r>
          <rPr>
            <sz val="10"/>
            <rFont val="Arial"/>
            <family val="2"/>
          </rPr>
          <t xml:space="preserve">unit: AUD
source: https://www.metalsx.com.au/wp-content/uploads/2026/07/02_MLX_Quarterly-Report_30-June-2026_Final.pdf#page=9
rationale: Reported group closing cash June 30 2026; no ownership scaling; stale at valuation date.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8" authorId="0">
      <text>
        <r>
          <rPr>
            <sz val="10"/>
            <rFont val="Arial"/>
            <family val="2"/>
          </rPr>
          <t xml:space="preserve">unit: AUD
source: https://www.metalsx.com.au/wp-content/uploads/2026/03/MLX-Annual-Report-31-December-2025.pdf#page=25
rationale: Sum current 2,849,000 and noncurrent 436,000 financing liabilities at Dec 31 2025; stale proxy, not a verified current bridge.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9" authorId="0">
      <text>
        <r>
          <rPr>
            <sz val="10"/>
            <rFont val="Arial"/>
            <family val="2"/>
          </rPr>
          <t xml:space="preserve">unit: AUD
source: analyst-assumption://limited-sensitivity
rationale: Exclude other investments/residual assets from this limited model; not a statement of zero economic value.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10" authorId="0">
      <text>
        <r>
          <rPr>
            <sz val="10"/>
            <rFont val="Arial"/>
            <family val="2"/>
          </rPr>
          <t xml:space="preserve">unit: shares
source: https://www.metalsx.com.au/wp-content/uploads/2026/03/MLX-Annual-Report-31-December-2025.pdf#page=62
rationale: Issued-share denominator Dec 31 2025, NOT verified current diluted shares; illustrative only.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20" authorId="0">
      <text>
        <r>
          <rPr>
            <sz val="10"/>
            <rFont val="Arial"/>
            <family val="2"/>
          </rPr>
          <t xml:space="preserve">unit: fraction
source: analyst-assumption://discount-rate
rationale: Illustrative discount rate; not a derived company WACC.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21" authorId="0">
      <text>
        <r>
          <rPr>
            <sz val="10"/>
            <rFont val="Arial"/>
            <family val="2"/>
          </rPr>
          <t xml:space="preserve">unit: fraction
source: https://www.metalsx.com.au/wp-content/uploads/2026/07/02_MLX_Quarterly-Report_30-June-2026_Final.pdf#page=2
rationale: Reported 50% ownership of Renison; apply once to whole-operation FCF.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22" authorId="0">
      <text>
        <r>
          <rPr>
            <sz val="10"/>
            <rFont val="Arial"/>
            <family val="2"/>
          </rPr>
          <t xml:space="preserve">unit: AUD
source: analyst-assumption://finite-horizon
rationale: No terminal perpetuity or residual asset value; horizon is an unverified stress assumption.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39" authorId="0">
      <text>
        <r>
          <rPr>
            <sz val="10"/>
            <rFont val="Arial"/>
            <family val="2"/>
          </rPr>
          <t xml:space="preserve">unit: fraction
source: analyst-assumption://discount-rate
rationale: Illustrative discount rate; not a derived company WACC.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40" authorId="0">
      <text>
        <r>
          <rPr>
            <sz val="10"/>
            <rFont val="Arial"/>
            <family val="2"/>
          </rPr>
          <t xml:space="preserve">unit: fraction
source: https://www.metalsx.com.au/wp-content/uploads/2026/07/02_MLX_Quarterly-Report_30-June-2026_Final.pdf#page=2
rationale: Reported 50% ownership of Renison; apply once to whole-operation FCF.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41" authorId="0">
      <text>
        <r>
          <rPr>
            <sz val="10"/>
            <rFont val="Arial"/>
            <family val="2"/>
          </rPr>
          <t xml:space="preserve">unit: AUD
source: analyst-assumption://finite-horizon
rationale: No terminal perpetuity or residual asset value; horizon is an unverified stress assumption.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58" authorId="0">
      <text>
        <r>
          <rPr>
            <sz val="10"/>
            <rFont val="Arial"/>
            <family val="2"/>
          </rPr>
          <t xml:space="preserve">unit: fraction
source: analyst-assumption://discount-rate
rationale: Illustrative discount rate; not a derived company WACC.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59" authorId="0">
      <text>
        <r>
          <rPr>
            <sz val="10"/>
            <rFont val="Arial"/>
            <family val="2"/>
          </rPr>
          <t xml:space="preserve">unit: fraction
source: https://www.metalsx.com.au/wp-content/uploads/2026/07/02_MLX_Quarterly-Report_30-June-2026_Final.pdf#page=2
rationale: Reported 50% ownership of Renison; apply once to whole-operation FCF.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60" authorId="0">
      <text>
        <r>
          <rPr>
            <sz val="10"/>
            <rFont val="Arial"/>
            <family val="2"/>
          </rPr>
          <t xml:space="preserve">unit: AUD
source: analyst-assumption://finite-horizon
rationale: No terminal perpetuity or residual asset value; horizon is an unverified stress assumption.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25" authorId="0">
      <text>
        <r>
          <rPr>
            <sz val="10"/>
            <rFont val="Arial"/>
            <family val="2"/>
          </rPr>
          <t xml:space="preserve">unit: tonnes
source: https://www.metalsx.com.au/wp-content/uploads/2026/07/02_MLX_Quarterly-Report_30-June-2026_Final.pdf#page=2
rationale: TTM produced 11,287t ×0.9;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26" authorId="0">
      <text>
        <r>
          <rPr>
            <sz val="10"/>
            <rFont val="Arial"/>
            <family val="2"/>
          </rPr>
          <t xml:space="preserve">unit: AUD/tonne
source: https://www.metalsx.com.au/wp-content/uploads/2026/07/02_MLX_Quarterly-Report_30-June-2026_Final.pdf#page=2
rationale: TTM LME-imputed AUD 63,760/t ×0.8;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27"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28" authorId="0">
      <text>
        <r>
          <rPr>
            <sz val="10"/>
            <rFont val="Arial"/>
            <family val="2"/>
          </rPr>
          <t xml:space="preserve">unit: AUD/tonne
source: https://www.metalsx.com.au/wp-content/uploads/2026/07/02_MLX_Quarterly-Report_30-June-2026_Final.pdf#page=2
rationale: (TTM C 1 19,349 + imputed sales/marketing 8,089) ×1.1;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29"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30"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31"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32"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33"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34"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35"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25" authorId="0">
      <text>
        <r>
          <rPr>
            <sz val="10"/>
            <rFont val="Arial"/>
            <family val="2"/>
          </rPr>
          <t xml:space="preserve">unit: tonnes
source: https://www.metalsx.com.au/wp-content/uploads/2026/07/02_MLX_Quarterly-Report_30-June-2026_Final.pdf#page=2
rationale: TTM produced 11,287t ×0.9;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26" authorId="0">
      <text>
        <r>
          <rPr>
            <sz val="10"/>
            <rFont val="Arial"/>
            <family val="2"/>
          </rPr>
          <t xml:space="preserve">unit: AUD/tonne
source: https://www.metalsx.com.au/wp-content/uploads/2026/07/02_MLX_Quarterly-Report_30-June-2026_Final.pdf#page=2
rationale: TTM LME-imputed AUD 63,760/t ×0.8;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27"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28" authorId="0">
      <text>
        <r>
          <rPr>
            <sz val="10"/>
            <rFont val="Arial"/>
            <family val="2"/>
          </rPr>
          <t xml:space="preserve">unit: AUD/tonne
source: https://www.metalsx.com.au/wp-content/uploads/2026/07/02_MLX_Quarterly-Report_30-June-2026_Final.pdf#page=2
rationale: (TTM C 1 19,349 + imputed sales/marketing 8,089) ×1.1;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29"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30"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31"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32"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33"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34"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35"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25" authorId="0">
      <text>
        <r>
          <rPr>
            <sz val="10"/>
            <rFont val="Arial"/>
            <family val="2"/>
          </rPr>
          <t xml:space="preserve">unit: tonnes
source: https://www.metalsx.com.au/wp-content/uploads/2026/07/02_MLX_Quarterly-Report_30-June-2026_Final.pdf#page=2
rationale: TTM produced 11,287t ×0.9;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26" authorId="0">
      <text>
        <r>
          <rPr>
            <sz val="10"/>
            <rFont val="Arial"/>
            <family val="2"/>
          </rPr>
          <t xml:space="preserve">unit: AUD/tonne
source: https://www.metalsx.com.au/wp-content/uploads/2026/07/02_MLX_Quarterly-Report_30-June-2026_Final.pdf#page=2
rationale: TTM LME-imputed AUD 63,760/t ×0.8;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27"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28" authorId="0">
      <text>
        <r>
          <rPr>
            <sz val="10"/>
            <rFont val="Arial"/>
            <family val="2"/>
          </rPr>
          <t xml:space="preserve">unit: AUD/tonne
source: https://www.metalsx.com.au/wp-content/uploads/2026/07/02_MLX_Quarterly-Report_30-June-2026_Final.pdf#page=2
rationale: (TTM C 1 19,349 + imputed sales/marketing 8,089) ×1.1;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29"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30"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31"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32"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33"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34"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35"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E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F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G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H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H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H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H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H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H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H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H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H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H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H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I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I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I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I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I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I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I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I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I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I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I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List>
</comments>
</file>

<file path=xl/sharedStrings.xml><?xml version="1.0" encoding="utf-8"?>
<sst xmlns="http://schemas.openxmlformats.org/spreadsheetml/2006/main" count="818" uniqueCount="194">
  <si>
    <t xml:space="preserve">asx-mlx  /  Summary</t>
  </si>
  <si>
    <t xml:space="preserve">ILLUSTRATIVE SENSITIVITY — not an actionable valuation</t>
  </si>
  <si>
    <t xml:space="preserve">Active scenario</t>
  </si>
  <si>
    <t xml:space="preserve">Model value per share</t>
  </si>
  <si>
    <t xml:space="preserve">Equity value</t>
  </si>
  <si>
    <t xml:space="preserve">Minimum illustrative cash</t>
  </si>
  <si>
    <t xml:space="preserve">Markdown is the main research narrative. Use this workbook to inspect and edit detailed assumptions; recalculate in Excel or LibreOffice, save, then import to publish a validated snapshot back to the research memo.</t>
  </si>
  <si>
    <t xml:space="preserve">Known limitations: ILLUSTRATIVE IMPUTED-REVENUE SENSITIVITY ONLY. This is not an actionable fair-value estimate or an investment recommendation. • Production is used solely as the company-style imputed-revenue proxy (100% produced tin sold/paid); it is NOT reported payable sales. The workbook labels it production_tonnes_proxy. Realized payable sales, inventory, settlement timing and revenue must replace this proxy before valuation. See Readme for the full limitations register.</t>
  </si>
  <si>
    <t xml:space="preserve">asx-mlx  /  Assumptions</t>
  </si>
  <si>
    <t xml:space="preserve">base</t>
  </si>
  <si>
    <t xml:space="preserve">Blue = editable inputs • Green = cross-sheet links • Black = calculations</t>
  </si>
  <si>
    <t xml:space="preserve">Cash</t>
  </si>
  <si>
    <t xml:space="preserve">AUD</t>
  </si>
  <si>
    <t xml:space="preserve">Debt</t>
  </si>
  <si>
    <t xml:space="preserve">Other Assets</t>
  </si>
  <si>
    <t xml:space="preserve">Diluted Shares</t>
  </si>
  <si>
    <t xml:space="preserve">shares</t>
  </si>
  <si>
    <t xml:space="preserve">Reference Price</t>
  </si>
  <si>
    <t xml:space="preserve">AUD/share</t>
  </si>
  <si>
    <t xml:space="preserve">Valuation Date</t>
  </si>
  <si>
    <t xml:space="preserve">2026-09-20</t>
  </si>
  <si>
    <t xml:space="preserve">YYYY-MM-DD</t>
  </si>
  <si>
    <t xml:space="preserve">Quote Date</t>
  </si>
  <si>
    <t xml:space="preserve">Enter dates as YYYY-MM-DD text. Blank quote and reference price mean no market comparison. Preserve the declared ownership basis; attributable inputs require ownership = 100%.</t>
  </si>
  <si>
    <t xml:space="preserve">BEAR / whole_operation</t>
  </si>
  <si>
    <t xml:space="preserve">Discount Rate</t>
  </si>
  <si>
    <t xml:space="preserve">Ownership</t>
  </si>
  <si>
    <t xml:space="preserve">Residual Value</t>
  </si>
  <si>
    <t xml:space="preserve">Explicit forecast periods</t>
  </si>
  <si>
    <t xml:space="preserve">Production proxy (not payable sales)</t>
  </si>
  <si>
    <t xml:space="preserve">tonnes</t>
  </si>
  <si>
    <t xml:space="preserve">Price</t>
  </si>
  <si>
    <t xml:space="preserve">AUD/tonne</t>
  </si>
  <si>
    <t xml:space="preserve">Fx</t>
  </si>
  <si>
    <t xml:space="preserve">AUD/AUD</t>
  </si>
  <si>
    <t xml:space="preserve">Unit Cost</t>
  </si>
  <si>
    <t xml:space="preserve">Royalty Rate</t>
  </si>
  <si>
    <t xml:space="preserve">fraction</t>
  </si>
  <si>
    <t xml:space="preserve">Tax Rate</t>
  </si>
  <si>
    <t xml:space="preserve">Depreciation</t>
  </si>
  <si>
    <t xml:space="preserve">Capex</t>
  </si>
  <si>
    <t xml:space="preserve">Working Capital Change</t>
  </si>
  <si>
    <t xml:space="preserve">Closure</t>
  </si>
  <si>
    <t xml:space="preserve">Corporate Cost</t>
  </si>
  <si>
    <t xml:space="preserve">BASE / whole_operation</t>
  </si>
  <si>
    <t xml:space="preserve">BULL / whole_operation</t>
  </si>
  <si>
    <t xml:space="preserve">asx-mlx  /  Historical</t>
  </si>
  <si>
    <t xml:space="preserve">Source-linked reported facts. Historical coverage may be incomplete; no integrated statements are inferred.</t>
  </si>
  <si>
    <t xml:space="preserve">Metric</t>
  </si>
  <si>
    <t xml:space="preserve">Period</t>
  </si>
  <si>
    <t xml:space="preserve">Value</t>
  </si>
  <si>
    <t xml:space="preserve">Unit</t>
  </si>
  <si>
    <t xml:space="preserve">Currency</t>
  </si>
  <si>
    <t xml:space="preserve">Basis / ownership</t>
  </si>
  <si>
    <t xml:space="preserve">Published</t>
  </si>
  <si>
    <t xml:space="preserve">Source</t>
  </si>
  <si>
    <t xml:space="preserve">Page</t>
  </si>
  <si>
    <t xml:space="preserve">cash_and_cash_equivalents</t>
  </si>
  <si>
    <t xml:space="preserve">2025-12-31</t>
  </si>
  <si>
    <t xml:space="preserve">reported / consolidated</t>
  </si>
  <si>
    <t xml:space="preserve">2026-03-25</t>
  </si>
  <si>
    <t xml:space="preserve">Open source report</t>
  </si>
  <si>
    <t xml:space="preserve">25</t>
  </si>
  <si>
    <t xml:space="preserve">current_interest_bearing_liabilities</t>
  </si>
  <si>
    <t xml:space="preserve">noncurrent_interest_bearing_liabilities</t>
  </si>
  <si>
    <t xml:space="preserve">issued_ordinary_shares</t>
  </si>
  <si>
    <t xml:space="preserve">62</t>
  </si>
  <si>
    <t xml:space="preserve">rehabilitation_provision_present_value</t>
  </si>
  <si>
    <t xml:space="preserve">60</t>
  </si>
  <si>
    <t xml:space="preserve">net_operating_cash_flow</t>
  </si>
  <si>
    <t xml:space="preserve">FY2025</t>
  </si>
  <si>
    <t xml:space="preserve">26</t>
  </si>
  <si>
    <t xml:space="preserve">cash_paid_property_plant_equipment</t>
  </si>
  <si>
    <t xml:space="preserve">cash_paid_mine_properties_development</t>
  </si>
  <si>
    <t xml:space="preserve">tin_in_concentrate_produced</t>
  </si>
  <si>
    <t xml:space="preserve">tonnes_tin</t>
  </si>
  <si>
    <t xml:space="preserve">reported / whole_operation</t>
  </si>
  <si>
    <t xml:space="preserve">9</t>
  </si>
  <si>
    <t xml:space="preserve">ownership_interest</t>
  </si>
  <si>
    <t xml:space="preserve">2026-Q2</t>
  </si>
  <si>
    <t xml:space="preserve">2026-07-27</t>
  </si>
  <si>
    <t xml:space="preserve">2</t>
  </si>
  <si>
    <t xml:space="preserve">TTM-ended-2026-06-30</t>
  </si>
  <si>
    <t xml:space="preserve">imputed_tin_price</t>
  </si>
  <si>
    <t xml:space="preserve">AUD_per_tonne_tin</t>
  </si>
  <si>
    <t xml:space="preserve">c1_cash_production_cost</t>
  </si>
  <si>
    <t xml:space="preserve">imputed_sales_and_marketing_cost</t>
  </si>
  <si>
    <t xml:space="preserve">all_in_sustaining_cost</t>
  </si>
  <si>
    <t xml:space="preserve">capital_expenditure</t>
  </si>
  <si>
    <t xml:space="preserve">3</t>
  </si>
  <si>
    <t xml:space="preserve">sustaining_capital_expenditure</t>
  </si>
  <si>
    <t xml:space="preserve">project_capital_expenditure</t>
  </si>
  <si>
    <t xml:space="preserve">2026-06-30</t>
  </si>
  <si>
    <t xml:space="preserve">corporate_costs</t>
  </si>
  <si>
    <t xml:space="preserve">8</t>
  </si>
  <si>
    <t xml:space="preserve">revenue</t>
  </si>
  <si>
    <t xml:space="preserve">24</t>
  </si>
  <si>
    <t xml:space="preserve">FY2024</t>
  </si>
  <si>
    <t xml:space="preserve">cost_of_sales</t>
  </si>
  <si>
    <t xml:space="preserve">gross_profit</t>
  </si>
  <si>
    <t xml:space="preserve">general_and_administrative_expenses</t>
  </si>
  <si>
    <t xml:space="preserve">finance_costs</t>
  </si>
  <si>
    <t xml:space="preserve">profit_before_tax</t>
  </si>
  <si>
    <t xml:space="preserve">income_tax_expense</t>
  </si>
  <si>
    <t xml:space="preserve">net_income</t>
  </si>
  <si>
    <t xml:space="preserve">2024-12-31</t>
  </si>
  <si>
    <t xml:space="preserve">trade_and_other_receivables</t>
  </si>
  <si>
    <t xml:space="preserve">inventories</t>
  </si>
  <si>
    <t xml:space="preserve">total_current_assets</t>
  </si>
  <si>
    <t xml:space="preserve">total_noncurrent_assets</t>
  </si>
  <si>
    <t xml:space="preserve">total_assets</t>
  </si>
  <si>
    <t xml:space="preserve">trade_and_other_payables</t>
  </si>
  <si>
    <t xml:space="preserve">total_current_liabilities</t>
  </si>
  <si>
    <t xml:space="preserve">total_noncurrent_liabilities</t>
  </si>
  <si>
    <t xml:space="preserve">total_liabilities</t>
  </si>
  <si>
    <t xml:space="preserve">total_equity</t>
  </si>
  <si>
    <t xml:space="preserve">net_investing_cash_flow</t>
  </si>
  <si>
    <t xml:space="preserve">net_financing_cash_flow</t>
  </si>
  <si>
    <t xml:space="preserve">net_change_in_cash</t>
  </si>
  <si>
    <t xml:space="preserve">opening_cash_and_cash_equivalents</t>
  </si>
  <si>
    <t xml:space="preserve">asx-mlx  /  Operating</t>
  </si>
  <si>
    <t xml:space="preserve">Horizon</t>
  </si>
  <si>
    <t xml:space="preserve">Volume basis</t>
  </si>
  <si>
    <t xml:space="preserve">Annual end-of-period forecast</t>
  </si>
  <si>
    <t xml:space="preserve">Volume (see case basis)</t>
  </si>
  <si>
    <t xml:space="preserve">see case input units</t>
  </si>
  <si>
    <t xml:space="preserve">Revenue</t>
  </si>
  <si>
    <t xml:space="preserve">Operating Cost</t>
  </si>
  <si>
    <t xml:space="preserve">Royalties</t>
  </si>
  <si>
    <t xml:space="preserve">Ebit</t>
  </si>
  <si>
    <t xml:space="preserve">Tax</t>
  </si>
  <si>
    <t xml:space="preserve">Nopat</t>
  </si>
  <si>
    <t xml:space="preserve">Operating Fcf</t>
  </si>
  <si>
    <t xml:space="preserve">Fcf</t>
  </si>
  <si>
    <t xml:space="preserve">Present Value</t>
  </si>
  <si>
    <t xml:space="preserve">Illustrative Cash</t>
  </si>
  <si>
    <t xml:space="preserve">Illustrative cash excludes financing, dividends and debt maturities. This is a finite cash-flow schedule, not an integrated three-statement forecast. No terminal perpetuity is assumed.</t>
  </si>
  <si>
    <t xml:space="preserve">asx-mlx  /  Valuation</t>
  </si>
  <si>
    <t xml:space="preserve">Enterprise Value</t>
  </si>
  <si>
    <t xml:space="preserve">Equity Value</t>
  </si>
  <si>
    <t xml:space="preserve">Per Share</t>
  </si>
  <si>
    <t xml:space="preserve">Minimum Illustrative Cash</t>
  </si>
  <si>
    <t xml:space="preserve">Reference price</t>
  </si>
  <si>
    <t xml:space="preserve">Model / reference price − 1</t>
  </si>
  <si>
    <t xml:space="preserve">This is a model output, not a price target or investment recommendation. Corporate costs and residual value are company-attributable; operating cash flows apply ownership once. Residual value is explicit, not a perpetuity.</t>
  </si>
  <si>
    <t xml:space="preserve">asx-mlx  /  Sensitivities</t>
  </si>
  <si>
    <t xml:space="preserve">Price multiplier × discount rate / AUD per share. All active-case forecast years recomputed, including positive-EBIT tax floor.</t>
  </si>
  <si>
    <t xml:space="preserve">Auditable discounted-cash-flow helpers</t>
  </si>
  <si>
    <t xml:space="preserve">Driver 0.8× / rate column 1</t>
  </si>
  <si>
    <t xml:space="preserve">Driver 0.8× / rate column 2</t>
  </si>
  <si>
    <t xml:space="preserve">Driver 0.8× / rate column 3</t>
  </si>
  <si>
    <t xml:space="preserve">Driver 1.0× / rate column 1</t>
  </si>
  <si>
    <t xml:space="preserve">Driver 1.0× / rate column 2</t>
  </si>
  <si>
    <t xml:space="preserve">Driver 1.0× / rate column 3</t>
  </si>
  <si>
    <t xml:space="preserve">Driver 1.2× / rate column 1</t>
  </si>
  <si>
    <t xml:space="preserve">Driver 1.2× / rate column 2</t>
  </si>
  <si>
    <t xml:space="preserve">Driver 1.2× / rate column 3</t>
  </si>
  <si>
    <t xml:space="preserve">asx-mlx  /  Checks</t>
  </si>
  <si>
    <t xml:space="preserve">Valid active scenario</t>
  </si>
  <si>
    <t xml:space="preserve">Positive diluted shares</t>
  </si>
  <si>
    <t xml:space="preserve">Equity bridge reconciliation</t>
  </si>
  <si>
    <t xml:space="preserve">Central sensitivity reconciliation</t>
  </si>
  <si>
    <t xml:space="preserve">Reference quote pair</t>
  </si>
  <si>
    <t xml:space="preserve">Ownership range</t>
  </si>
  <si>
    <t xml:space="preserve">Workbook checks are structural, not evidence approval. Import validates all scenarios, declared units, formula integrity and financial constraints independently. Any formula changes require a new model design review.</t>
  </si>
  <si>
    <t xml:space="preserve">asx-mlx  /  Readme</t>
  </si>
  <si>
    <t xml:space="preserve">WORKFLOW | Read the Markdown memo first. Excel is the editable detailed model. Change blue assumptions, recalculate, save and import to create a new validated research snapshot. Existing snapshots remain immutable.</t>
  </si>
  <si>
    <t xml:space="preserve">MODEL | One active scenario drives all formulas. Select bear/base/bull in Assumptions!B4. Forecast horizons are fixed by the source model; shorter cases have zero inputs after their final period.</t>
  </si>
  <si>
    <t xml:space="preserve">UNITS | Calculations use absolute currency amounts, not millions. Input provenance comments identify unit, source, author and rationale. Historical rows retain original reported units; normalize before using them in assumptions.</t>
  </si>
  <si>
    <t xml:space="preserve">OWNERSHIP | Whole-operation cash flow is multiplied by ownership once. Corporate costs and residual value are company-attributable. Cash, debt and other assets are added at company level.</t>
  </si>
  <si>
    <t xml:space="preserve">METHOD | Annual end-period discounting; explicit residual only. Positive EBIT tax floor; no deferred tax or loss carryforwards. Cash excludes debt repayment, funding and dividends. This is not an integrated income statement, balance sheet and cash-flow forecast.</t>
  </si>
  <si>
    <t xml:space="preserve">EDITING | Blue inputs are editable. Green formulas link sheets. Black formulas calculate locally. Keep formulas and metadata intact. Synchronization records changed inputs as analyst overrides. Explain their source and rationale in the research memo; formula edits are rejected.</t>
  </si>
  <si>
    <t xml:space="preserve">EVIDENCE | A professional workbook layout does not upgrade uncertain evidence. Missing current quotes, mine-life support, payable sales or capital structure remain research gaps. Model values are not recommendations.</t>
  </si>
  <si>
    <t xml:space="preserve">KNOWN LIMITATIONS</t>
  </si>
  <si>
    <t xml:space="preserve">ILLUSTRATIVE IMPUTED-REVENUE SENSITIVITY ONLY. This is not an actionable fair-value estimate or an investment recommendation.</t>
  </si>
  <si>
    <t xml:space="preserve">Production is used solely as the company-style imputed-revenue proxy (100% produced tin sold/paid); it is NOT reported payable sales. The workbook labels it production_tonnes_proxy. Realized payable sales, inventory, settlement timing and revenue must replace this proxy before valuation.</t>
  </si>
  <si>
    <t xml:space="preserve">The baseline price AUD63,760/t is the reported trailing-12-month LME-imputed price, NOT realized tin sales price. Scenario price and volume levels are analyst stress assumptions, not company guidance.</t>
  </si>
  <si>
    <t xml:space="preserve">Unit cost combines reported trailing-12-month C1 AUD19,349/t and imputed sales/marketing AUD8,089/t. Marketing includes royalties and payable-tin deductions, so separate royalty_rate=0 prevents duplicate deductions. Price-linked marketing behavior is not separately modelled and could materially affect sensitivity.</t>
  </si>
  <si>
    <t xml:space="preserve">Finite horizons 3/5/7 years are illustrative assumptions, not reserve-supported mine life. The quarterly report said an updated life-of-mine plan and Ore Reserve were expected in Q3 2026; those updates have not been verified. No perpetuity or residual value is included.</t>
  </si>
  <si>
    <t xml:space="preserve">Cash AUD374m is as at June 30 2026; debt AUD3.285m and issued shares886,391,538 are as at December31 2025. These stale mixed-date balances need updated half-year/ASX checks. Issued shares are a proxy, NOT a verified current fully diluted denominator.</t>
  </si>
  <si>
    <t xml:space="preserve">Closure is an explicit assumed AUD100m whole-operation nominal final-year payment. The reported AUD33.035m group rehabilitation provision is a present-value accounting figure, not this cash-payment estimate; actual scope/timing and other closure sites remain unmodelled.</t>
  </si>
  <si>
    <t xml:space="preserve">Capex annualizes June-quarter whole-operation AUD23.4m to AUD93.6m each model year, including both sustaining and project spend. This is a scenario assumption, not guidance. No additional AISC deduction is made.</t>
  </si>
  <si>
    <t xml:space="preserve">Annual corporate costs annualize group June-quarter AUD0.56m to AUD2.24m, deducted once after 50% attribution. Other investments/residual assets are set to zero only to exclude them from this limited sensitivity, not because they have zero economic value.</t>
  </si>
  <si>
    <t xml:space="preserve">Tax rate30% is an analyst simplifying assumption; depreciation is assumed zero and no loss carryforwards, corporate tax shields or closure deductions are modelled. No forecast working-capital changes are assumed; this is not verified operational guidance.</t>
  </si>
  <si>
    <t xml:space="preserve">Annual row labels2027 onward denote period-end annualized flows one/two/etc years from the valuation date, not an audited fiscal calendar projection. No remaining2026 stub cash flow is forecast. Forecast years are constant run-rate proxies.</t>
  </si>
  <si>
    <t xml:space="preserve">No verified current share quote is supplied. Reverse valuation and price/upside comparisons are unavailable. No actual user portfolio is used.</t>
  </si>
  <si>
    <t xml:space="preserve">Historical statement summaries now include FY2025 and FY2024 as reported in the 2025 annual report. This is a selected comparative history, not a full three-year normalization or a linked three-statement forecast. Group consolidated actuals must not be compared directly with unscaled whole-operation model rows.</t>
  </si>
  <si>
    <t xml:space="preserve">investing-excel-v1</t>
  </si>
  <si>
    <t xml:space="preserve">{"schema_version":1,"baseline":{"company_id":"asx-mlx","model_type":"finite_mine","purpose":"illustrative_sensitivity","synthetic":false,"currency":"AUD","valuation_date":"2026-09-20","reference_price":null,"quote_date":null,"cash":374000000.0,"debt":3285000.0,"other_assets":0.0,"diluted_shares":886391538.0,"historical":[{"entity":"Metals X Group","metric":"cash_and_cash_equivalents","value":293606000.0,"unit":"AUD","currency":"AUD","period":"2025-12-31","publication_date":"2026-03-25","source":"https://www.metalsx.com.au/wp-content/uploads/2026/03/MLX-Annual-Report-31-December-2025.pdf#page=25","page":"25","basis":"reported","ownership_basis":"consolidated"},{"entity":"Metals X Group","metric":"current_interest_bearing_liabilities","value":2849000.0,"unit":"AUD","currency":"AUD","period":"2025-12-31","publication_date":"2026-03-25","source":"https://www.metalsx.com.au/wp-content/uploads/2026/03/MLX-Annual-Report-31-December-2025.pdf#page=25","page":"25","basis":"reported","ownership_basis":"consolidated"},{"entity":"Metals X Group","metric":"noncurrent_interest_bearing_liabilities","value":436000.0,"unit":"AUD","currency":"AUD","period":"2025-12-31","publication_date":"2026-03-25","source":"https://www.metalsx.com.au/wp-content/uploads/2026/03/MLX-Annual-Report-31-December-2025.pdf#page=25","page":"25","basis":"reported","ownership_basis":"consolidated"},{"entity":"Metals X Limited","metric":"issued_ordinary_shares","value":886391538.0,"unit":"shares","currency":null,"period":"2025-12-31","publication_date":"2026-03-25","source":"https://www.metalsx.com.au/wp-content/uploads/2026/03/MLX-Annual-Report-31-December-2025.pdf#page=62","page":"62","basis":"reported","ownership_basis":"consolidated"},{"entity":"Metals X Group","metric":"rehabilitation_provision_present_value","value":33035000.0,"unit":"AUD","currency":"AUD","period":"2025-12-31","publication_date":"2026-03-25","source":"https://www.metalsx.com.au/wp-content/uploads/2026/03/MLX-Annual-Report-31-December-2025.pdf#page=60","page":"60","basis":"reported","ownership_basis":"consolidated"},{"entity":"Metals X Group","metric":"net_operating_cash_flow","value":128323000.0,"unit":"AUD","currency":"AUD","period":"FY2025","publication_date":"2026-03-25","source":"https://www.metalsx.com.au/wp-content/uploads/2026/03/MLX-Annual-Report-31-December-2025.pdf#page=26","page":"26","basis":"reported","ownership_basis":"consolidated"},{"entity":"Metals X Group","metric":"cash_paid_property_plant_equipment","value":13747000.0,"unit":"AUD","currency":"AUD","period":"FY2025","publication_date":"2026-03-25","source":"https://www.metalsx.com.au/wp-content/uploads/2026/03/MLX-Annual-Report-31-December-2025.pdf#page=26","page":"26","basis":"reported","ownership_basis":"consolidated"},{"entity":"Metals X Group","metric":"cash_paid_mine_properties_development","value":22211000.0,"unit":"AUD","currency":"AUD","period":"FY2025","publication_date":"2026-03-25","source":"https://www.metalsx.com.au/wp-content/uploads/2026/03/MLX-Annual-Report-31-December-2025.pdf#page=26","page":"26","basis":"reported","ownership_basis":"consolidated"},{"entity":"Renison Tin Operation","metric":"tin_in_concentrate_produced","value":10748.0,"unit":"tonnes_tin","currency":null,"period":"FY2025","publication_date":"2026-03-25","source":"https://www.metalsx.com.au/wp-content/uploads/2026/03/MLX-Annual-Report-31-December-2025.pdf#page=9","page":"9","basis":"reported","ownership_basis":"whole_operation"},{"entity":"Renison Tin Operation","metric":"ownership_interest","value":0.5,"unit":"fraction","currency":null,"period":"2026-Q2","publication_date":"2026-07-27","source":"https://www.metalsx.com.au/wp-content/uploads/2026/07/02_MLX_Quarterly-Report_30-June-2026_Final.pdf#page=2","page":"2","basis":"reported","ownership_basis":"whole_operation"},{"entity":"Renison Tin Operation","metric":"tin_in_concentrate_produced","value":2809.0,"unit":"tonnes_tin","currency":null,"period":"2026-Q2","publication_date":"2026-07-27","source":"https://www.metalsx.com.au/wp-content/uploads/2026/07/02_MLX_Quarterly-Report_30-June-2026_Final.pdf#page=2","page":"2","basis":"reported","ownership_basis":"whole_operation"},{"entity":"Renison Tin Operation","metric":"tin_in_concentrate_produced","value":11287.0,"unit":"tonnes_tin","currency":null,"period":"TTM-ended-2026-06-30","publication_date":"2026-07-27","source":"https://www.metalsx.com.au/wp-content/uploads/2026/07/02_MLX_Quarterly-Report_30-June-2026_Final.pdf#page=2","page":"2","basis":"reported","ownership_basis":"whole_operation"},{"entity":"Renison Tin Operation","metric":"imputed_tin_price","value":73834.0,"unit":"AUD_per_tonne_tin","currency":"AUD","period":"2026-Q2","publication_date":"2026-07-27","source":"https://www.metalsx.com.au/wp-content/uploads/2026/07/02_MLX_Quarterly-Report_30-June-2026_Final.pdf#page=2","page":"2","basis":"reported","ownership_basis":"whole_operation"},{"entity":"Renison Tin Operation","metric":"imputed_tin_price","value":63760.0,"unit":"AUD_per_tonne_tin","currency":"AUD","period":"TTM-ended-2026-06-30","publication_date":"2026-07-27","source":"https://www.metalsx.com.au/wp-content/uploads/2026/07/02_MLX_Quarterly-Report_30-June-2026_Final.pdf#page=2","page":"2","basis":"reported","ownership_basis":"whole_operation"},{"entity":"Renison Tin Operation","metric":"c1_cash_production_cost","value":20251.0,"unit":"AUD_per_tonne_tin","currency":"AUD","period":"2026-Q2","publication_date":"2026-07-27","source":"https://www.metalsx.com.au/wp-content/uploads/2026/07/02_MLX_Quarterly-Report_30-June-2026_Final.pdf#page=2","page":"2","basis":"reported","ownership_basis":"whole_operation"},{"entity":"Renison Tin Operation","metric":"c1_cash_production_cost","value":19349.0,"unit":"AUD_per_tonne_tin","currency":"AUD","period":"TTM-ended-2026-06-30","publication_date":"2026-07-27","source":"https://www.metalsx.com.au/wp-content/uploads/2026/07/02_MLX_Quarterly-Report_30-June-2026_Final.pdf#page=2","page":"2","basis":"reported","ownership_basis":"whole_operation"},{"entity":"Renison Tin Operation","metric":"imputed_sales_and_marketing_cost","value":8758.0,"unit":"AUD_per_tonne_tin","currency":"AUD","period":"2026-Q2","publication_date":"2026-07-27","source":"https://www.metalsx.com.au/wp-content/uploads/2026/07/02_MLX_Quarterly-Report_30-June-2026_Final.pdf#page=2","page":"2","basis":"reported","ownership_basis":"whole_operation"},{"entity":"Renison Tin Operation","metric":"all_in_sustaining_cost","value":34865.0,"unit":"AUD_per_tonne_tin","currency":"AUD","period":"2026-Q2","publication_date":"2026-07-27","source":"https://www.metalsx.com.au/wp-content/uploads/2026/07/02_MLX_Quarterly-Report_30-June-2026_Final.pdf#page=2","page":"2","basis":"reported","ownership_basis":"whole_operation"},{"entity":"Renison Tin Operation","metric":"capital_expenditure","value":23400000.0,"unit":"AUD","currency":"AUD","period":"2026-Q2","publication_date":"2026-07-27","source":"https://www.metalsx.com.au/wp-content/uploads/2026/07/02_MLX_Quarterly-Report_30-June-2026_Final.pdf#page=3","page":"3","basis":"reported","ownership_basis":"whole_operation"},{"entity":"Renison Tin Operation","metric":"sustaining_capital_expenditure","value":16450000.0,"unit":"AUD","currency":"AUD","period":"2026-Q2","publication_date":"2026-07-27","source":"https://www.metalsx.com.au/wp-content/uploads/2026/07/02_MLX_Quarterly-Report_30-June-2026_Final.pdf#page=3","page":"3","basis":"reported","ownership_basis":"whole_operation"},{"entity":"Renison Tin Operation","metric":"project_capital_expenditure","value":6950000.0,"unit":"AUD","currency":"AUD","period":"2026-Q2","publication_date":"2026-07-27","source":"https://www.metalsx.com.au/wp-content/uploads/2026/07/02_MLX_Quarterly-Report_30-June-2026_Final.pdf#page=3","page":"3","basis":"reported","ownership_basis":"whole_operation"},{"entity":"Metals X Group","metric":"cash_and_cash_equivalents","value":374000000.0,"unit":"AUD","currency":"AUD","period":"2026-06-30","publication_date":"2026-07-27","source":"https://www.metalsx.com.au/wp-content/uploads/2026/07/02_MLX_Quarterly-Report_30-June-2026_Final.pdf#page=9","page":"9","basis":"reported","ownership_basis":"consolidated"},{"entity":"Metals X Group","metric":"corporate_costs","value":560000.0,"unit":"AUD","currency":"AUD","period":"2026-Q2","publication_date":"2026-07-27","source":"https://www.metalsx.com.au/wp-content/uploads/2026/07/02_MLX_Quarterly-Report_30-June-2026_Final.pdf#page=8","page":"8","basis":"reported","ownership_basis":"consolidated"},{"entity":"Metals X Group","metric":"revenue","value":284999000.0,"unit":"AUD","currency":"AUD","period":"FY2025","publication_date":"2026-03-25","source":"https://www.metalsx.com.au/wp-content/uploads/2026/03/MLX-Annual-Report-31-December-2025.pdf#page=24","page":"24","basis":"reported","ownership_basis":"consolidated"},{"entity":"Metals X Group","metric":"revenue","value":218820000.0,"unit":"AUD","currency":"AUD","period":"FY2024","publication_date":"2026-03-25","source":"https://www.metalsx.com.au/wp-content/uploads/2026/03/MLX-Annual-Report-31-December-2025.pdf#page=24","page":"24","basis":"reported","ownership_basis":"consolidated"},{"entity":"Metals X Group","metric":"cost_of_sales","value":158275000.0,"unit":"AUD","currency":"AUD","period":"FY2025","publication_date":"2026-03-25","source":"https://www.metalsx.com.au/wp-content/uploads/2026/03/MLX-Annual-Report-31-December-2025.pdf#page=24","page":"24","basis":"reported","ownership_basis":"consolidated"},{"entity":"Metals X Group","metric":"cost_of_sales","value":123558000.0,"unit":"AUD","currency":"AUD","period":"FY2024","publication_date":"2026-03-25","source":"https://www.metalsx.com.au/wp-content/uploads/2026/03/MLX-Annual-Report-31-December-2025.pdf#page=24","page":"24","basis":"reported","ownership_basis":"consolidated"},{"entity":"Metals X Group","metric":"gross_profit","value":126724000.0,"unit":"AUD","currency":"AUD","period":"FY2025","publication_date":"2026-03-25","source":"https://www.metalsx.com.au/wp-content/uploads/2026/03/MLX-Annual-Report-31-December-2025.pdf#page=24","page":"24","basis":"reported","ownership_basis":"consolidated"},{"entity":"Metals X Group","metric":"gross_profit","value":95262000.0,"unit":"AUD","currency":"AUD","period":"FY2024","publication_date":"2026-03-25","source":"https://www.metalsx.com.au/wp-content/uploads/2026/03/MLX-Annual-Report-31-December-2025.pdf#page=24","page":"24","basis":"reported","ownership_basis":"consolidated"},{"entity":"Metals X Group","metric":"general_and_administrative_expenses","value":4212000.0,"unit":"AUD","currency":"AUD","period":"FY2025","publication_date":"2026-03-25","source":"https://www.metalsx.com.au/wp-content/uploads/2026/03/MLX-Annual-Report-31-December-2025.pdf#page=24","page":"24","basis":"reported","ownership_basis":"consolidated"},{"entity":"Metals X Group","metric":"general_and_administrative_expenses","value":2744000.0,"unit":"AUD","currency":"AUD","period":"FY2024","publication_date":"2026-03-25","source":"https://www.metalsx.com.au/wp-content/uploads/2026/03/MLX-Annual-Report-31-December-2025.pdf#page=24","page":"24","basis":"reported","ownership_basis":"consolidated"},{"entity":"Metals X Group","metric":"finance_costs","value":980000.0,"unit":"AUD","currency":"AUD","period":"FY2025","publication_date":"2026-03-25","source":"https://www.metalsx.com.au/wp-content/uploads/2026/03/MLX-Annual-Report-31-December-2025.pdf#page=24","page":"24","basis":"reported","ownership_basis":"consolidated"},{"entity":"Metals X Group","metric":"finance_costs","value":566000.0,"unit":"AUD","currency":"AUD","period":"FY2024","publication_date":"2026-03-25","source":"https://www.metalsx.com.au/wp-content/uploads/2026/03/MLX-Annual-Report-31-December-2025.pdf#page=24","page":"24","basis":"reported","ownership_basis":"consolidated"},{"entity":"Metals X Group","metric":"profit_before_tax","value":138275000.0,"unit":"AUD","currency":"AUD","period":"FY2025","publication_date":"2026-03-25","source":"https://www.metalsx.com.au/wp-content/uploads/2026/03/MLX-Annual-Report-31-December-2025.pdf#page=24","page":"24","basis":"reported","ownership_basis":"consolidated"},{"entity":"Metals X Group","metric":"profit_before_tax","value":120227000.0,"unit":"AUD","currency":"AUD","period":"FY2024","publication_date":"2026-03-25","source":"https://www.metalsx.com.au/wp-content/uploads/2026/03/MLX-Annual-Report-31-December-2025.pdf#page=24","page":"24","basis":"reported","ownership_basis":"consolidated"},{"entity":"Metals X Group","metric":"income_tax_expense","value":33670000.0,"unit":"AUD","currency":"AUD","period":"FY2025","publication_date":"2026-03-25","source":"https://www.metalsx.com.au/wp-content/uploads/2026/03/MLX-Annual-Report-31-December-2025.pdf#page=24","page":"24","basis":"reported","ownership_basis":"consolidated"},{"entity":"Metals X Group","metric":"income_tax_expense","value":17878000.0,"unit":"AUD","currency":"AUD","period":"FY2024","publication_date":"2026-03-25","source":"https://www.metalsx.com.au/wp-content/uploads/2026/03/MLX-Annual-Report-31-December-2025.pdf#page=24","page":"24","basis":"reported","ownership_basis":"consolidated"},{"entity":"Metals X Group","metric":"net_income","value":104605000.0,"unit":"AUD","currency":"AUD","period":"FY2025","publication_date":"2026-03-25","source":"https://www.metalsx.com.au/wp-content/uploads/2026/03/MLX-Annual-Report-31-December-2025.pdf#page=24","page":"24","basis":"reported","ownership_basis":"consolidated"},{"entity":"Metals X Group","metric":"net_income","value":102349000.0,"unit":"AUD","currency":"AUD","period":"FY2024","publication_date":"2026-03-25","source":"https://www.metalsx.com.au/wp-content/uploads/2026/03/MLX-Annual-Report-31-December-2025.pdf#page=24","page":"24","basis":"reported","ownership_basis":"consolidated"},{"entity":"Metals X Group","metric":"cash_and_cash_equivalents","value":220644000.0,"unit":"AUD","currency":"AUD","period":"2024-12-31","publication_date":"2026-03-25","source":"https://www.metalsx.com.au/wp-content/uploads/2026/03/MLX-Annual-Report-31-December-2025.pdf#page=25","page":"25","basis":"reported","ownership_basis":"consolidated"},{"entity":"Metals X Group","metric":"trade_and_other_receivables","value":36473000.0,"unit":"AUD","currency":"AUD","period":"2025-12-31","publication_date":"2026-03-25","source":"https://www.metalsx.com.au/wp-content/uploads/2026/03/MLX-Annual-Report-31-December-2025.pdf#page=25","page":"25","basis":"reported","ownership_basis":"consolidated"},{"entity":"Metals X Group","metric":"trade_and_other_receivables","value":8666000.0,"unit":"AUD","currency":"AUD","period":"2024-12-31","publication_date":"2026-03-25","source":"https://www.metalsx.com.au/wp-content/uploads/2026/03/MLX-Annual-Report-31-December-2025.pdf#page=25","page":"25","basis":"reported","ownership_basis":"consolidated"},{"entity":"Metals X Group","metric":"inventories","value":29488000.0,"unit":"AUD","currency":"AUD","period":"2025-12-31","publication_date":"2026-03-25","source":"https://www.metalsx.com.au/wp-content/uploads/2026/03/MLX-Annual-Report-31-December-2025.pdf#page=25","page":"25","basis":"reported","ownership_basis":"consolidated"},{"entity":"Metals X Group","metric":"inventories","value":37573000.0,"unit":"AUD","currency":"AUD","period":"2024-12-31","publication_date":"2026-03-25","source":"https://www.metalsx.com.au/wp-content/uploads/2026/03/MLX-Annual-Report-31-December-2025.pdf#page=25","page":"25","basis":"reported","ownership_basis":"consolidated"},{"entity":"Metals X Group","metric":"total_current_assets","value":363459000.0,"unit":"AUD","currency":"AUD","period":"2025-12-31","publication_date":"2026-03-25","source":"https://www.metalsx.com.au/wp-content/uploads/2026/03/MLX-Annual-Report-31-December-2025.pdf#page=25","page":"25","basis":"reported","ownership_basis":"consolidated"},{"entity":"Metals X Group","metric":"total_current_assets","value":271243000.0,"unit":"AUD","currency":"AUD","period":"2024-12-31","publication_date":"2026-03-25","source":"https://www.metalsx.com.au/wp-content/uploads/2026/03/MLX-Annual-Report-31-December-2025.pdf#page=25","page":"25","basis":"reported","ownership_basis":"consolidated"},{"entity":"Metals X Group","metric":"total_noncurrent_assets","value":255050000.0,"unit":"AUD","currency":"AUD","period":"2025-12-31","publication_date":"2026-03-25","source":"https://www.metalsx.com.au/wp-content/uploads/2026/03/MLX-Annual-Report-31-December-2025.pdf#page=25","page":"25","basis":"reported","ownership_basis":"consolidated"},{"entity":"Metals X Group","metric":"total_noncurrent_assets","value":233789000.0,"unit":"AUD","currency":"AUD","period":"2024-12-31","publication_date":"2026-03-25","source":"https://www.metalsx.com.au/wp-content/uploads/2026/03/MLX-Annual-Report-31-December-2025.pdf#page=25","page":"25","basis":"reported","ownership_basis":"consolidated"},{"entity":"Metals X Group","metric":"total_assets","value":618509000.0,"unit":"AUD","currency":"AUD","period":"2025-12-31","publication_date":"2026-03-25","source":"https://www.metalsx.com.au/wp-content/uploads/2026/03/MLX-Annual-Report-31-December-2025.pdf#page=25","page":"25","basis":"reported","ownership_basis":"consolidated"},{"entity":"Metals X Group","metric":"total_assets","value":505032000.0,"unit":"AUD","currency":"AUD","period":"2024-12-31","publication_date":"2026-03-25","source":"https://www.metalsx.com.au/wp-content/uploads/2026/03/MLX-Annual-Report-31-December-2025.pdf#page=25","page":"25","basis":"reported","ownership_basis":"consolidated"},{"entity":"Metals X Group","metric":"trade_and_other_payables","value":17091000.0,"unit":"AUD","currency":"AUD","period":"2025-12-31","publication_date":"2026-03-25","source":"https://www.metalsx.com.au/wp-content/uploads/2026/03/MLX-Annual-Report-31-December-2025.pdf#page=25","page":"25","basis":"reported","ownership_basis":"consolidated"},{"entity":"Metals X Group","metric":"trade_and_other_payables","value":20972000.0,"unit":"AUD","currency":"AUD","period":"2024-12-31","publication_date":"2026-03-25","source":"https://www.metalsx.com.au/wp-content/uploads/2026/03/MLX-Annual-Report-31-December-2025.pdf#page=25","page":"25","basis":"reported","ownership_basis":"consolidated"},{"entity":"Metals X Group","metric":"current_interest_bearing_liabilities","value":3645000.0,"unit":"AUD","currency":"AUD","period":"2024-12-31","publication_date":"2026-03-25","source":"https://www.metalsx.com.au/wp-content/uploads/2026/03/MLX-Annual-Report-31-December-2025.pdf#page=25","page":"25","basis":"reported","ownership_basis":"consolidated"},{"entity":"Metals X Group","metric":"noncurrent_interest_bearing_liabilities","value":2508000.0,"unit":"AUD","currency":"AUD","period":"2024-12-31","publication_date":"2026-03-25","source":"https://www.metalsx.com.au/wp-content/uploads/2026/03/MLX-Annual-Report-31-December-2025.pdf#page=25","page":"25","basis":"reported","ownership_basis":"consolidated"},{"entity":"Metals X Group","metric":"total_current_liabilities","value":51679000.0,"unit":"AUD","currency":"AUD","period":"2025-12-31","publication_date":"2026-03-25","source":"https://www.metalsx.com.au/wp-content/uploads/2026/03/MLX-Annual-Report-31-December-2025.pdf#page=25","page":"25","basis":"reported","ownership_basis":"consolidated"},{"entity":"Metals X Group","metric":"total_current_liabilities","value":43857000.0,"unit":"AUD","currency":"AUD","period":"2024-12-31","publication_date":"2026-03-25","source":"https://www.metalsx.com.au/wp-content/uploads/2026/03/MLX-Annual-Report-31-December-2025.pdf#page=25","page":"25","basis":"reported","ownership_basis":"consolidated"},{"entity":"Metals X Group","metric":"total_noncurrent_liabilities","value":34297000.0,"unit":"AUD","currency":"AUD","period":"2025-12-31","publication_date":"2026-03-25","source":"https://www.metalsx.com.au/wp-content/uploads/2026/03/MLX-Annual-Report-31-December-2025.pdf#page=25","page":"25","basis":"reported","ownership_basis":"consolidated"},{"entity":"Metals X Group","metric":"total_noncurrent_liabilities","value":33401000.0,"unit":"AUD","currency":"AUD","period":"2024-12-31","publication_date":"2026-03-25","source":"https://www.metalsx.com.au/wp-content/uploads/2026/03/MLX-Annual-Report-31-December-2025.pdf#page=25","page":"25","basis":"reported","ownership_basis":"consolidated"},{"entity":"Metals X Group","metric":"total_liabilities","value":85976000.0,"unit":"AUD","currency":"AUD","period":"2025-12-31","publication_date":"2026-03-25","source":"https://www.metalsx.com.au/wp-content/uploads/2026/03/MLX-Annual-Report-31-December-2025.pdf#page=25","page":"25","basis":"reported","ownership_basis":"consolidated"},{"entity":"Metals X Group","metric":"total_liabilities","value":77258000.0,"unit":"AUD","currency":"AUD","period":"2024-12-31","publication_date":"2026-03-25","source":"https://www.metalsx.com.au/wp-content/uploads/2026/03/MLX-Annual-Report-31-December-2025.pdf#page=25","page":"25","basis":"reported","ownership_basis":"consolidated"},{"entity":"Metals X Group","metric":"total_equity","value":532533000.0,"unit":"AUD","currency":"AUD","period":"2025-12-31","publication_date":"2026-03-25","source":"https://www.metalsx.com.au/wp-content/uploads/2026/03/MLX-Annual-Report-31-December-2025.pdf#page=25","page":"25","basis":"reported","ownership_basis":"consolidated"},{"entity":"Metals X Group","metric":"total_equity","value":427774000.0,"unit":"AUD","currency":"AUD","period":"2024-12-31","publication_date":"2026-03-25","source":"https://www.metalsx.com.au/wp-content/uploads/2026/03/MLX-Annual-Report-31-December-2025.pdf#page=25","page":"25","basis":"reported","ownership_basis":"consolidated"},{"entity":"Metals X Group","metric":"net_operating_cash_flow","value":143567000.0,"unit":"AUD","currency":"AUD","period":"FY2024","publication_date":"2026-03-25","source":"https://www.metalsx.com.au/wp-content/uploads/2026/03/MLX-Annual-Report-31-December-2025.pdf#page=26","page":"26","basis":"reported","ownership_basis":"consolidated"},{"entity":"Metals X Group","metric":"cash_paid_property_plant_equipment","value":17425000.0,"unit":"AUD","currency":"AUD","period":"FY2024","publication_date":"2026-03-25","source":"https://www.metalsx.com.au/wp-content/uploads/2026/03/MLX-Annual-Report-31-December-2025.pdf#page=26","page":"26","basis":"reported","ownership_basis":"consolidated"},{"entity":"Metals X Group","metric":"cash_paid_mine_properties_development","value":22511000.0,"unit":"AUD","currency":"AUD","period":"FY2024","publication_date":"2026-03-25","source":"https://www.metalsx.com.au/wp-content/uploads/2026/03/MLX-Annual-Report-31-December-2025.pdf#page=26","page":"26","basis":"reported","ownership_basis":"consolidated"},{"entity":"Metals X Group","metric":"net_investing_cash_flow","value":-52493000.0,"unit":"AUD","currency":"AUD","period":"FY2025","publication_date":"2026-03-25","source":"https://www.metalsx.com.au/wp-content/uploads/2026/03/MLX-Annual-Report-31-December-2025.pdf#page=26","page":"26","basis":"reported","ownership_basis":"consolidated"},{"entity":"Metals X Group","metric":"net_investing_cash_flow","value":-55453000.0,"unit":"AUD","currency":"AUD","period":"FY2024","publication_date":"2026-03-25","source":"https://www.metalsx.com.au/wp-content/uploads/2026/03/MLX-Annual-Report-31-December-2025.pdf#page=26","page":"26","basis":"reported","ownership_basis":"consolidated"},{"entity":"Metals X Group","metric":"net_financing_cash_flow","value":-2868000.0,"unit":"AUD","currency":"AUD","period":"FY2025","publication_date":"2026-03-25","source":"https://www.metalsx.com.au/wp-content/uploads/2026/03/MLX-Annual-Report-31-December-2025.pdf#page=26","page":"26","basis":"reported","ownership_basis":"consolidated"},{"entity":"Metals X Group","metric":"net_financing_cash_flow","value":-10512000.0,"unit":"AUD","currency":"AUD","period":"FY2024","publication_date":"2026-03-25","source":"https://www.metalsx.com.au/wp-content/uploads/2026/03/MLX-Annual-Report-31-December-2025.pdf#page=26","page":"26","basis":"reported","ownership_basis":"consolidated"},{"entity":"Metals X Group","metric":"net_change_in_cash","value":72962000.0,"unit":"AUD","currency":"AUD","period":"FY2025","publication_date":"2026-03-25","source":"https://www.metalsx.com.au/wp-content/uploads/2026/03/MLX-Annual-Report-31-December-2025.pdf#page=26","page":"26","basis":"reported","ownership_basis":"consolidated"},{"entity":"Metals X Group","metric":"net_change_in_cash","value":77602000.0,"unit":"AUD","currency":"AUD","period":"FY2024","publication_date":"2026-03-25","source":"https://www.metalsx.com.au/wp-content/uploads/2026/03/MLX-Annual-Report-31-December-2025.pdf#page=26","page":"26","basis":"reported","ownership_basis":"consolidated"},{"entity":"Metals X Group","metric":"opening_cash_and_cash_equivalents","value":220644000.0,"unit":"AUD","currency":"AUD","period":"FY2025","publication_date":"2026-03-25","source":"https://www.metalsx.com.au/wp-content/uploads/2026/03/MLX-Annual-Report-31-December-2025.pdf#page=26","page":"26","basis":"reported","ownership_basis":"consolidated"},{"entity":"Metals X Group","metric":"opening_cash_and_cash_equivalents","value":143042000.0,"unit":"AUD","currency":"AUD","period":"FY2024","publication_date":"2026-03-25","source":"https://www.metalsx.com.au/wp-content/uploads/2026/03/MLX-Annual-Report-31-December-2025.pdf#page=26","page":"26","basis":"reported","ownership_basis":"consolidated"}],"scenarios":{"bear":{"discount_rate":0.12,"ownership":0.5,"ownership_basis":"whole_operation","volume_basis":"imputed_production","residual_value":0.0,"years":[{"year":2027,"payable_tonnes":10158.3,"price":51008.0,"price_currency":"AUD","fx":1.0,"unit_cost":30181.8,"royalty_rate":0.0,"tax_rate":0.3,"depreciation":0.0,"capex":93600000.0,"working_capital_change":0.0,"closure":0.0,"corporate_cost":2240000.0},{"year":2028,"payable_tonnes":10158.3,"price":51008.0,"price_currency":"AUD","fx":1.0,"unit_cost":30181.8,"royalty_rate":0.0,"tax_rate":0.3,"depreciation":0.0,"capex":93600000.0,"working_capital_change":0.0,"closure":0.0,"corporate_cost":2240000.0},{"year":2029,"payable_tonnes":10158.3,"price":51008.0,"price_currency":"AUD","fx":1.0,"unit_cost":30181.8,"royalty_rate":0.0,"tax_rate":0.3,"depreciation":0.0,"capex":93600000.0,"working_capital_change":0.0,"closure":100000000.0,"corporate_cost":2240000.0}],"notes":"Illustrative 3-year assumed finite horizon; not reserve-backed life. Price multiplier 0.8, unit-cost multiplier 1.1, production proxy multiplier 0.9; not guidance."},"base":{"discount_rate":0.1,"ownership":0.5,"ownership_basis":"whole_operation","volume_basis":"imputed_production","residual_value":0.0,"years":[{"year":2027,"payable_tonnes":11287.0,"price":63760.0,"price_currency":"AUD","fx":1.0,"unit_cost":27438.0,"royalty_rate":0.0,"tax_rate":0.3,"depreciation":0.0,"capex":93600000.0,"working_capital_change":0.0,"closure":0.0,"corporate_cost":2240000.0},{"year":2028,"payable_tonnes":11287.0,"price":63760.0,"price_currency":"AUD","fx":1.0,"unit_cost":27438.0,"royalty_rate":0.0,"tax_rate":0.3,"depreciation":0.0,"capex":93600000.0,"working_capital_change":0.0,"closure":0.0,"corporate_cost":2240000.0},{"year":2029,"payable_tonnes":11287.0,"price":63760.0,"price_currency":"AUD","fx":1.0,"unit_cost":27438.0,"royalty_rate":0.0,"tax_rate":0.3,"depreciation":0.0,"capex":93600000.0,"working_capital_change":0.0,"closure":0.0,"corporate_cost":2240000.0},{"year":2030,"payable_tonnes":11287.0,"price":63760.0,"price_currency":"AUD","fx":1.0,"unit_cost":27438.0,"royalty_rate":0.0,"tax_rate":0.3,"depreciation":0.0,"capex":93600000.0,"working_capital_change":0.0,"closure":0.0,"corporate_cost":2240000.0},{"year":2031,"payable_tonnes":11287.0,"price":63760.0,"price_currency":"AUD","fx":1.0,"unit_cost":27438.0,"royalty_rate":0.0,"tax_rate":0.3,"depreciation":0.0,"capex":93600000.0,"working_capital_change":0.0,"closure":100000000.0,"corporate_cost":2240000.0}],"notes":"Illustrative 5-year assumed finite horizon; not reserve-backed life. Price multiplier 1.0, unit-cost multiplier 1.0, production proxy multiplier 1.0; not guidance."},"bull":{"discount_rate":0.08,"ownership":0.5,"ownership_basis":"whole_operation","volume_basis":"imputed_production","residual_value":0.0,"years":[{"year":2027,"payable_tonnes":12415.7,"price":76512.0,"price_currency":"AUD","fx":1.0,"unit_cost":26066.1,"royalty_rate":0.0,"tax_rate":0.3,"depreciation":0.0,"capex":93600000.0,"working_capital_change":0.0,"closure":0.0,"corporate_cost":2240000.0},{"year":2028,"payable_tonnes":12415.7,"price":76512.0,"price_currency":"AUD","fx":1.0,"unit_cost":26066.1,"royalty_rate":0.0,"tax_rate":0.3,"depreciation":0.0,"capex":93600000.0,"working_capital_change":0.0,"closure":0.0,"corporate_cost":2240000.0},{"year":2029,"payable_tonnes":12415.7,"price":76512.0,"price_currency":"AUD","fx":1.0,"unit_cost":26066.1,"royalty_rate":0.0,"tax_rate":0.3,"depreciation":0.0,"capex":93600000.0,"working_capital_change":0.0,"closure":0.0,"corporate_cost":2240000.0},{"year":2030,"payable_tonnes":12415.7,"price":76512.0,"price_currency":"AUD","fx":1.0,"unit_cost":26066.1,"royalty_rate":0.0,"tax_rate":0.3,"depreciation":0.0,"capex":93600000.0,"working_capital_change":0.0,"closure":0.0,"corporate_cost":2240000.0},{"year":2031,"payable_tonnes":12415.7,"price":76512.0,"price_currency":"AUD","fx":1.0,"unit_cost":26066.1,"royalty_rate":0.0,"tax_rate":0.3,"depreciation":0.0,"capex":93600000.0,"working_capital_change":0.0,"closure":0.0,"corporate_cost":2240000.0},{"year":2032,"payable_tonnes":12415.7,"price":76512.0,"price_currency":"AUD","fx":1.0,"unit_cost":26066.1,"royalty_rate":0.0,"tax_rate":0.3,"depreciation":0.0,"capex":93600000.0,"working_capital_change":0.0,"closure":0.0,"corporate_cost":2240000.0},{"year":2033,"payable_tonnes":12415.7,"price":76512.0,"price_currency":"AUD","fx":1.0,"unit_cost":26066.1,"royalty_rate":0.0,"tax_rate":0.3,"depreciation":0.0,"capex":93600000.0,"working_capital_change":0.0,"closure":100000000.0,"corporate_cost":2240000.0}],"notes":"I</t>
  </si>
  <si>
    <t xml:space="preserve">llustrative 7-year assumed finite horizon; not reserve-backed life. Price multiplier 1.2, unit-cost multiplier 0.95, production proxy multiplier 1.1; not guidance."}},"provenance":{"/cash":{"unit":"AUD","source":"https://www.metalsx.com.au/wp-content/uploads/2026/07/02_MLX_Quarterly-Report_30-June-2026_Final.pdf#page=9","rationale":"Reported group closing cash June 30 2026; no ownership scaling; stale at valuation date.","author":"Agent-authored public example; reported source or explicit assumption as described"},"/debt":{"unit":"AUD","source":"https://www.metalsx.com.au/wp-content/uploads/2026/03/MLX-Annual-Report-31-December-2025.pdf#page=25","rationale":"Sum current 2,849,000 and noncurrent 436,000 financing liabilities at Dec 31 2025; stale proxy, not a verified current bridge.","author":"Agent-authored public example; reported source or explicit assumption as described"},"/other_assets":{"unit":"AUD","source":"analyst-assumption://limited-sensitivity","rationale":"Exclude other investments/residual assets from this limited model; not a statement of zero economic value.","author":"Agent-authored public example; reported source or explicit assumption as described"},"/diluted_shares":{"unit":"shares","source":"https://www.metalsx.com.au/wp-content/uploads/2026/03/MLX-Annual-Report-31-December-2025.pdf#page=62","rationale":"Issued-share denominator Dec 31 2025, NOT verified current diluted shares; illustrative only.","author":"Agent-authored public example; reported source or explicit assumption as described"},"/scenarios/bear/discount_rate":{"unit":"fraction","source":"analyst-assumption://discount-rate","rationale":"Illustrative discount rate; not a derived company WACC.","author":"Agent-authored public example; reported source or explicit assumption as described"},"/scenarios/bear/ownership":{"unit":"fraction","source":"https://www.metalsx.com.au/wp-content/uploads/2026/07/02_MLX_Quarterly-Report_30-June-2026_Final.pdf#page=2","rationale":"Reported 50% ownership of Renison; apply once to whole-operation FCF.","author":"Agent-authored public example; reported source or explicit assumption as described"},"/scenarios/bear/residual_value":{"unit":"AUD","source":"analyst-assumption://finite-horizon","rationale":"No terminal perpetuity or residual asset value; horizon is an unverified stress assumption.","author":"Agent-authored public example; reported source or explicit assumption as described"},"/scenarios/bear/years/0/payable_tonnes":{"unit":"tonnes","source":"https://www.metalsx.com.au/wp-content/uploads/2026/07/02_MLX_Quarterly-Report_30-June-2026_Final.pdf#page=2","rationale":"TTM produced 11,287t ×0.9; IMPUTED PRODUCTION PROXY only, not payable sales. Gross imputed revenue includes 100% produced and marketing cost deducts payable tin charges.","author":"Agent-authored public example; reported source or explicit assumption as described"},"/scenarios/bear/years/0/price":{"unit":"AUD/tonne","source":"https://www.metalsx.com.au/wp-content/uploads/2026/07/02_MLX_Quarterly-Report_30-June-2026_Final.pdf#page=2","rationale":"TTM LME-imputed AUD 63,760/t ×0.8; not realized price, no claim of forecast guidance.","author":"Agent-authored public example; reported source or explicit assumption as described"},"/scenarios/bear/years/0/fx":{"unit":"AUD/AUD","source":"https://www.metalsx.com.au/wp-content/uploads/2026/07/02_MLX_Quarterly-Report_30-June-2026_Final.pdf#page=2","rationale":"All imputed price/costs reported in AUD; identity conversion.","author":"Agent-authored public example; reported source or explicit assumption as described"},"/scenarios/bear/years/0/unit_cost":{"unit":"AUD/tonne","source":"https://www.metalsx.com.au/wp-content/uploads/2026/07/02_MLX_Quarterly-Report_30-June-2026_Final.pdf#page=2","rationale":"(TTM C 1 19,349 + imputed sales/marketing 8,089) ×1.1; includes royalties/payable deductions. Assumed future run-rate, not guidance.","author":"Agent-authored public example; reported source or explicit assumption as described"},"/scenarios/bear/years/0/royalty_rate":{"unit":"fraction","source":"https://www.metalsx.com.au/wp-content/uploads/2026/07/02_MLX_Quarterly-Report_30-June-2026_Final.pdf#page=3","rationale":"Royalties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described"},"/scenarios/bear/years/0/tax_rate":{"unit":"fraction","source":"analyst-assumption://simplified-tax","rationale":"Assume 30% tax on positive cash-based EBIT; no depreciation shields/losses. Not a verified fiscal forecast.","author":"Agent-authored public example; reported source or explicit assumption as described"},"/scenarios/bear/years/0/depreciation":{"unit":"AUD","source":"analyst-assumption://no-tax-depreciation","rationale":"Assume no depreciation tax shield; uncertain taxable bases need reconciliation.","author":"Agent-authored public example; reported source or explicit assumption as described"},"/scenarios/bear/years/0/capex":{"unit":"AUD","source":"https://www.metalsx.com.au/wp-content/uploads/2026/07/02_MLX_Quarterly-Report_30-June-2026_Final.pdf#page=3","rationale":"Annualize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described"},"/scenarios/bear/years/0/working_capital_change":{"unit":"AUD","source":"analyst-assumption://flat-working-capital","rationale":"Assume zero annual change solely for sensitivity; inventory/receivables timing is not established.","author":"Agent-authored public example; reported source or explicit assumption as described"},"/scenarios/bear/years/0/closure":{"unit":"AUD","source":"analyst-assumption://nominal-closure","rationale":"Assume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described"},"/scenarios/bear/years/0/corporate_cost":{"unit":"AUD","source":"https://www.metalsx.com.au/wp-content/uploads/2026/07/02_MLX_Quarterly-Report_30-June-2026_Final.pdf#page=8","rationale":"Annualized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described"},"/scenarios/bear/years/1/payable_tonnes":{"unit":"tonnes","source":"https://www.metalsx.com.au/wp-content/uploads/2026/07/02_MLX_Quarterly-Report_30-June-2026_Final.pdf#page=2","rationale":"TTM produced 11,287t ×0.9; IMPUTED PRODUCTION PROXY only, not payable sales. Gross imputed revenue includes 100% produced and marketing cost deducts payable tin charges.","author":"Agent-authored public example; reported source or explicit assumption as described"},"/scenarios/bear/years/1/price":{"unit":"AUD/tonne","source":"https://www.metalsx.com.au/wp-content/uploads/2026/07/02_MLX_Quarterly-Report_30-June-2026_Final.pdf#page=2","rationale":"TTM LME-imputed AUD 63,760/t ×0.8; not realized price, no claim of forecast guidance.","author":"Agent-authored public example; reported source or explicit assumption as described"},"/scenarios/bear/years/1/fx":{"unit":"AUD/AUD","source":"https://www.metalsx.com.au/wp-content/uploads/2026/07/02_MLX_Quarterly-Report_30-June-2026_Final.pdf#page=2","rationale":"All imputed price/costs reported in AUD; identity conversion.","author":"Agent-authored public example; reported source or explicit assumption as described"},"/scenarios/bear/years/1/unit_cost":{"unit":"AUD/tonne","source":"https://www.metalsx.com.au/wp-content/uploads/2026/07/02_MLX_Quarterly-Report_30-June-2026_Final.pdf#page=2","rationale":"(TTM C 1 19,349 + imputed sales/marketing 8,089) ×1.1; includes royalties/payable deductions. Assumed future run-rate, not guidance.","author":"Agent-authored public example; reported source or explicit assumption as described"},"/scenarios/bear/years/1/royalty_rate":{"unit":"fraction","source":"https://www.metalsx.com.au/wp-content/uploads/2026/07/02_MLX_Quarterly-Report_30-June-2026_Final.pdf#page=3","rationale":"Royalties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described"},"/scenarios/bear/years/1/tax_rate":{"unit":"fraction","source":"analyst-assumption://simplified-tax","rationale":"Assume 30% tax on positive cash-based EBIT; no depreciation shields/losses. Not a verified fiscal forecast.","author":"Agent-authored public example; reported source or explicit assumption as described"},"/scenarios/bear/years/1/depreciation":{"unit":"AUD","source":"analyst-assumption://no-tax-depreciation","rationale":"Assume no depreciation tax shield; uncertain taxable bases need reconciliation.","author":"Agent-authored public example; reported source or explicit assumption as described"},"/scenarios/bear/years/1/capex":{"unit":"AUD","source":"https://www.metalsx.com.au/wp-content/uploads/2026/07/02_MLX_Quarterly-Report_30-June-2026_Final.pdf#page=3","rationale":"Annualize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described"},"/scenarios/bear/years/1/working_capital_change":{"unit":"AUD","source":"analyst-assumption://flat-working-capital","rationale":"Assume zero annual change solely for sensitivity; inventory/receivables timing is not established.","author":"Agent-authored public example; reported source or explicit assumption as described"},"/scenarios/bear/years/1/closure":{"unit":"AUD","source":"analyst-assumption://nominal-closure","rationale":"Assume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described"},"/scenarios/bear/years/1/corporate_cost":{"unit":"AUD","source":"https://www.metalsx.com.au/wp-content/uploads/2026/07/02_MLX_Quarterly-Report_30-June-2026_Final.pdf#page=8","rationale":"Annualized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described"},"/scenarios/bear/years/2/payable_tonnes":{"unit":"tonnes","source":"https://www.metalsx.com.au/wp-content/uploads/2026/07/02_MLX_Quarterly-Report_30-June-2026_Final.pdf#page=2","rationale":"TTM produced 11,287t ×0.9; IMPUTED PRODUCTION PROXY only, not payable sales. Gross imputed revenue includes 100% produced and marketing cost deducts payable tin charges.","author":"Agent-authored public example; reported source or explicit assumption as described"},"/scenarios/bear/years/2/price":{"unit":"AUD/tonne","source":"https://www.metalsx.com.au/wp-content/uploads/2026/07/02_MLX_Quarterly-Report_30-June-2026_Final.pdf#page=2","rationale":"TTM LME-imputed AUD 63,760/t ×0.8; not realized price, no claim of forecast guidance.","author":"Agent-authored public example; reported source or explicit assumption as described"},"/scenarios/bear/years/2/fx":{"unit":"AUD/AUD","source":"https://www.metalsx.com.au/wp-content/uploads/2026/07/02_MLX_Quarterly-Report_30-June-2026_Final.pdf#page=2","rationale":"All imputed price/costs reported in AUD; identity conversion.","author":"Agent-authored public example; reported source or explicit assumption as described"},"/scenarios/bear/years/2/unit_cost":{"unit":"AUD/tonne","source":"https://www.metalsx.com.au/wp-content/uploads/2026/07/02_MLX_Quarterly-Report_30-June-2026_Final.pdf#page=2","rationale":"(TTM C 1 19,349 + imputed sales/marketing 8,089) ×1.1; includes royalties/payable deductions. Assumed future run-rate, not guidance.","author":"Agent-authored public example; reported source or explicit assumption as described"},"/scenarios/bear/years/2/royalty_rate":{"unit":"fraction","source":"https://www.metalsx.com.au/wp-content/uploads/2026/07/02_MLX_Quarterly-Report_30-June-2026_Final.pdf#page=3","rationale":"Royalties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described"},"/scenarios/bear/years/2/tax_rate":{"unit":"fraction","source":"analyst-assumption://simplified-tax","rationale":"Assume 30% tax on positive cash-based EBIT; no depreciation shields/losses. Not a verified fiscal forecast.","author":"Agent-authored public example; reported source or explicit assumption as described"},"/scenarios/bear/years/2/depreciation":{"unit":"AUD","source":"analyst-assumption://no-tax-depreciation","rationale":"Assume no depreciation tax shield; uncertain taxable bases need reconciliation.","author":"Agent-authored public example; reported source or explicit assumption as described"},"/scenarios/bear/years/2/capex":{"unit":"AUD","source":"https://www.metalsx.com.au/wp-content/uploads/2026/07/02_MLX_Quarterly-Report_30-June-2026_Final.pdf#page=3","rationale":"Annualize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described"},"/scenarios/bear/years/2/working_capital_change":{"unit":"AUD","source":"analyst-assumption://flat-working-capital","rationale":"Assume zero annual change solely for sensitivity; inventory/receivables timing is not established.","author":"Agent-authored public example; reported source or explicit assumption as described"},"/scenarios/bear/years/2/closure":{"unit":"AUD","source":"analyst-assumption://nominal-closure","rationale":"Assume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described"},"/scenarios/bear/years/2/corporate_cost":{"unit":"AUD","source":"https://www.metalsx.com.au/wp-content/uploads/2026/07/02_MLX_Quarterly-Report_30-June-2026_Final.pdf#page=8","rationale":"Annualized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described"},"/scenarios/base/discount_rate":{"unit":"fraction","source":"analyst-assumption://discount-rate","rationale":"Illustrative discount rate; not a derived company WACC.","author":"Agent-authored public example; reported source or explicit assumption as described"},"/scenarios/base/ownership":{"unit":"fraction","source":"https://www.metalsx.com.au/wp-content/uploads/2026/07/02_MLX_Quarterly-Report_30-June-2026_Final.pdf#page=2","rationale":"Reported 50% ownership of Renison; apply once to whole-operation FCF.","author":"Agent-authored public example; reported source or explicit assumption as described"},"/scenarios/base/residual_value":{"unit":"AUD","source":"analyst-assumption://finite-horizon","rationale":"No terminal perpetuity or residual asset value; horizon is an unverified stress assumption.","author":"Agent-authored public example; reported source or explicit assumption as described"},"/scenarios/base/years/0/payable_tonnes":{"unit":"tonnes","source":"https://www.metalsx.com.au/wp-content/uploads/2026/07/02_MLX_Quarterly-Report_30-June-2026_Final.pdf#page=2","rationale":"TTM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described"},"/scenarios/base/years/0/price":{"unit":"AUD/tonne","source":"https://www.metalsx.com.au/wp-content/uploads/2026/07/02_MLX_Quarterly-Report_30-June-2026_Final.pdf#page=2","rationale":"TTM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described"},"/scenarios/base/years/0/fx":{"unit":"AUD/AUD","source":"https://www.metalsx.com.au/wp-content/uploads/2026/07/02_MLX_Quarterly-Report_30-June-2026_Final.pdf#page=2","rationale":"All imputed price/costs reported in AUD; identity conversion.","author":"Agent-authored public example; reported source or explicit assumption as described"},"/scenarios/base/years/0/unit_cost":{"unit":"AUD/tonne","source":"https://www.metalsx.com.au/wp-content/uploads/2026/07/02_MLX_Quarterly-Report_30-June-2026_Final.pdf#page=2","rationale":"(TTM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described"},"/scenarios/base/years/0/royalty_rate":{"unit":"fraction","source":"https://www.metalsx.com.au/wp-content/uploads/2026/07/02_MLX_Quarterly-Report_30-June-2026_Final.pdf#page=3","rationale":"Royalties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described"},"/scenarios/base/years/0/tax_rate":{"unit":"fraction","source":"analyst-assumption://simplified-tax","rationale":"Assume 30% tax on positive cash-based EBIT; no depreciation shields/losses. Not a verified fiscal forecast.","author":"Agent-authored public example; reported source or explicit assumption as described"},"/scenarios/base/years/0/depreciation":{"unit":"AUD","source":"analyst-assumption://no-tax-depreciation","rationale":"Assume no depreciation tax shield; uncertain taxable bases need reconciliation.","author":"Agent-authored public example; reported source or explicit assumption as described"},"/scenarios/base/years/0/capex":{"unit":"AUD","source":"https://www.metalsx.com.au/wp-content/uploads/2026/07/02_MLX_Quarterly-Report_30-June-2026_Final.pdf#page=3","rationale":"Annualize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described"},"/scenarios/base/years/0/working_capital_change":{"unit":"AUD","source":"analyst-assumption://flat-working-capital","rationale":"Assume zero annual change solely for sensitivity; inventory/receivables timing is not established.","author":"Agent-authored public example; reported source or explicit assumption as described"},"/scenarios/base/years/0/closure":{"unit":"AUD","source":"analyst-assumption://nominal-closure","rationale":"Assume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described"},"/scenarios/base/years/0/corporate_cost":{"unit":"AUD","source":"https://www.metalsx.com.au/wp-content/uploads/2026/07/02_MLX_Quarterly-Report_30-June-2026_Final.pdf#page=8","rationale":"Annualized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described"},"/scenarios/base/years/1/payable_tonnes":{"unit":"tonnes","source":"https://www.metalsx.com.au/wp-content/uploads/2026/07/02_MLX_Quarterly-Report_30-June-2026_Final.pdf#page=2","rationale":"TTM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described"},"/scenarios/base/years/1/price":{"unit":"AUD/tonne","source":"https://www.metalsx.com.au/wp-content/uploads/2026/07/02_MLX_Quarterly-Report_30-June-2026_Final.pdf#page=2","rationale":"TTM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described"},"/scenarios/base/years/1/fx":{"unit":"AUD/AUD","source":"https://www.metalsx.com.au/wp-content/uploads/2026/07/02_MLX_Quarterly-Report_30-June-2026_Final.pdf#page=2","rationale":"All imputed price/costs reported in AUD; identity conversion.","author":"Agent-authored public example; reported source or explicit assumption as described"},"/scenarios/base/years/1/unit_cost":{"unit":"AUD/tonne","source":"https://www.metalsx.com.au/wp-content/uploads/2026/07/02_MLX_Quarterly-Report_30-June-2026_Final.pdf#page=2","rationale":"(TTM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described"},"/scenarios/base/years/1/royalty_rate":{"unit":"fraction","source":"https://www.metalsx.com.au/wp-content/uploads/2026/07/02_MLX_Quarterly-Report_30-June-2026_Final.pdf#page=3","rationale":"Royalties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described"},"/scenarios/base/years/1/tax_rate":{"unit":"fraction","source":"analyst-assumption://simplified-tax","rationale":"Assume 30% tax on positive cash-based EBIT; no depreciation shields/losses. Not a verified fiscal forecast.","author":"Agent-authored public example; reported source or explicit assumption as described"},"/scenarios/base/years/1/depreciation":{"unit":"AUD","source":"analyst-assumption://no-tax-depreciation","rationale":"Assume no depreciation tax shield; uncertain taxable bases need reconciliation.","author":"Agent-authored public example; reported source or explicit assumption as described"},"/scenarios/base/years/1/capex":{"unit":"AUD","source":"https://www.metalsx.com.au/wp-content/uploads/2026/07/02_MLX_Quarterly-Report_30-June-2026_Final.pdf#page=3","rationale":"Annualize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described"},"/scenarios/base/years/1/working_capital_change":{"unit":"AUD","source":"analyst-assumption://flat-working-capital","rationale":"Assume zero annual change solely for sensitivity; inventory/receivables timing is not established.","author":"Agent-authored public example; reported source or explicit assumption as described"},"/scenarios/base/years/1/closure":{"unit":"AUD","source":"analyst-assumption://nominal-closure","rationale":"Assume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described"},"/scenarios/base/years/1/corporate_cost":{"unit":"AUD","source":"https://www.metalsx.com.au/wp-content/uploads/2026/07/02_MLX_Quarterly-Report_30-June-2026_Final.pdf#page=8","rationale":"Annualized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described"},"/scenarios/base/years/2/payable_tonnes":{"unit":"tonnes","source":"https://www.metalsx.com.au/wp-content/uploads/2026/07/02_MLX_Quarterly-Report_30-June-2026_Final.pdf#page=2","rationale":"TTM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described"},"/scenarios/base/years/2/price":{"unit":"AUD/tonne","source":"https://www.metalsx.com.au/wp-content/uploads/2026/07/02_MLX_Quarterly-Report_30-June-2026_Final.pdf#page=2","rationale":"TTM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described"},"/scenarios/base/years/2/fx":{"unit":"AUD/AUD","source":"https://www.metalsx.com.au/wp-content/uploads/2026/07/02_MLX_Quarterly-Report_30-June-2026_Final.pdf#page=2","rationale":"All imputed price/costs reported in AUD; identity conversion.","author":"Agent-authored public example; reported source or explicit assumption as described"},"/scenarios/base/years/2/unit_cost":{"unit":"AUD/tonne","source":"https://www.metalsx.com.au/wp-content/uploads/2026/07/02_MLX_Quarterly-Report_30-June-2026_Final.pdf#page=2","rationale":"(TTM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described"},"/scenarios/base/years/2/royalty_rate":{"unit":"fraction","source":"https://www.metalsx.com.au/wp-content/uploads/2026/07/02_MLX_Quarterly-Report_30-June-2026_Final.pdf#page=3","rationale":"Royalties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described"},"/scenarios/base/years/2/tax_rate":{"unit":"fraction","source":"analyst-assumption://simplified-tax","rationale":"Assume 30% tax on positive cash-based EBIT; no depreciation shields/losses. Not a verified fiscal forecast.","author":"Agent-authored public example; reported source or explicit assumption as described"},"/scenarios/base/years/2/depreciation":{"unit":"AUD","source":"analyst-assumption://no-tax-depreciation","rationale":"Assume no depreciation tax shield; uncertain taxable bases need reconciliation.","author":"Agent-authored public example; reported source or explicit assumption as described"},"/scenarios/base/years/2/capex":{"unit":"AUD","source":"https://www.metalsx.com.au/wp-content/uploads/2026/07/02_MLX_Quarterly-Report_30-June-2026_Final.pdf#page=3","rationale":"Annualize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described"},"/scenarios/base/years/2/working_capital_change":{"unit":"AUD","source":"analyst-assumption://flat-working-capital","rationale":"Assume zero annual change solely for sensitivity; inventory/receivables timing is not established.","author":"Agent-authored public example; reported source or explicit assumption as described"},"/scenarios/base/years/2/closure":{"unit":"AUD","source":"analyst-assumption://nominal-closure","rationale":"Assume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described"},"/scenarios/base/years/2/corporate_cost":{"unit":"AUD","source":"https://www.metalsx.com.au/wp-content/uploads/2026/07/02_MLX_Quarterly-Report_30-June-2026_Final.pdf#page=8","rationale":"Annualized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described"},"/scenarios/base/years/3/payable_tonnes":{"unit":"tonnes","source":"https://www.metalsx.com.au/wp-content/uploads/2026/07/02_MLX_Quarterly-Report_30-June-2026_Final.pdf#page=2","rationale":"TTM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described"},"/scenarios/base/years/3/price":{"unit":"AUD/tonne","source":"https://www.metalsx.com.au/wp-content/uploads/2026/07/02_MLX_Quarterly-Report_30-June-2026_Final.pdf#page=2","rationale":"TTM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described"},"/scenarios/base/years/3/fx":{"unit":"AUD/AUD","source":"https://www.metalsx.com.au/wp-content/uploads/2026/07/02_MLX_Quarterly-Report_30-June-2026_Final.pdf#page=2","rationale":"All imputed price/costs reported in AUD; identity conversion.","author":"Agent-authored public example; reported source or explicit assumption as described"},"/scenarios/base/years/3/unit_cost":{"unit":"AUD/tonne","source":"https://www.metalsx.com.au/wp-content/uploads/2026/07/02_MLX_Quarterly-Report_30-June-2026_Final.pdf#page=2","rationale":"(TTM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described"},"/scenarios/base/years/3/royalty_rate":{"unit":"fraction","source":"https://www.metalsx.com.au/wp-content/uploads/2026/07/02_MLX_Quarterly-Report_30-June-2026_Final.pdf#page=3","rationale":"Royalties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described"},"/scenarios/base/years/3/tax_rate":{"unit":"fraction","source":"analyst-assumption://simplified-tax","rationale":"Assume 30% tax on positive cash-based EBIT; no depreciation shields/losses. Not a verified fiscal forecast.","author":"Agent-authored public example; reported source or explicit assumption as described"},"/scenarios/base/years/3/depreciation":{"unit":"AUD","source":"analyst-assumption://no-tax-depreciation","rationale":"Assume no depreciation tax shield; uncertain taxable bases need reconciliation.","author":"Agent-authored public example; reported source or explicit assumption as described</t>
  </si>
  <si>
    <t xml:space="preserve">"},"/scenarios/base/years/3/capex":{"unit":"AUD","source":"https://www.metalsx.com.au/wp-content/uploads/2026/07/02_MLX_Quarterly-Report_30-June-2026_Final.pdf#page=3","rationale":"Annualize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described"},"/scenarios/base/years/3/working_capital_change":{"unit":"AUD","source":"analyst-assumption://flat-working-capital","rationale":"Assume zero annual change solely for sensitivity; inventory/receivables timing is not established.","author":"Agent-authored public example; reported source or explicit assumption as described"},"/scenarios/base/years/3/closure":{"unit":"AUD","source":"analyst-assumption://nominal-closure","rationale":"Assume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described"},"/scenarios/base/years/3/corporate_cost":{"unit":"AUD","source":"https://www.metalsx.com.au/wp-content/uploads/2026/07/02_MLX_Quarterly-Report_30-June-2026_Final.pdf#page=8","rationale":"Annualized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described"},"/scenarios/base/years/4/payable_tonnes":{"unit":"tonnes","source":"https://www.metalsx.com.au/wp-content/uploads/2026/07/02_MLX_Quarterly-Report_30-June-2026_Final.pdf#page=2","rationale":"TTM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described"},"/scenarios/base/years/4/price":{"unit":"AUD/tonne","source":"https://www.metalsx.com.au/wp-content/uploads/2026/07/02_MLX_Quarterly-Report_30-June-2026_Final.pdf#page=2","rationale":"TTM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described"},"/scenarios/base/years/4/fx":{"unit":"AUD/AUD","source":"https://www.metalsx.com.au/wp-content/uploads/2026/07/02_MLX_Quarterly-Report_30-June-2026_Final.pdf#page=2","rationale":"All imputed price/costs reported in AUD; identity conversion.","author":"Agent-authored public example; reported source or explicit assumption as described"},"/scenarios/base/years/4/unit_cost":{"unit":"AUD/tonne","source":"https://www.metalsx.com.au/wp-content/uploads/2026/07/02_MLX_Quarterly-Report_30-June-2026_Final.pdf#page=2","rationale":"(TTM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described"},"/scenarios/base/years/4/royalty_rate":{"unit":"fraction","source":"https://www.metalsx.com.au/wp-content/uploads/2026/07/02_MLX_Quarterly-Report_30-June-2026_Final.pdf#page=3","rationale":"Royalties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described"},"/scenarios/base/years/4/tax_rate":{"unit":"fraction","source":"analyst-assumption://simplified-tax","rationale":"Assume 30% tax on positive cash-based EBIT; no depreciation shields/losses. Not a verified fiscal forecast.","author":"Agent-authored public example; reported source or explicit assumption as described"},"/scenarios/base/years/4/depreciation":{"unit":"AUD","source":"analyst-assumption://no-tax-depreciation","rationale":"Assume no depreciation tax shield; uncertain taxable bases need reconciliation.","author":"Agent-authored public example; reported source or explicit assumption as described"},"/scenarios/base/years/4/capex":{"unit":"AUD","source":"https://www.metalsx.com.au/wp-content/uploads/2026/07/02_MLX_Quarterly-Report_30-June-2026_Final.pdf#page=3","rationale":"Annualize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described"},"/scenarios/base/years/4/working_capital_change":{"unit":"AUD","source":"analyst-assumption://flat-working-capital","rationale":"Assume zero annual change solely for sensitivity; inventory/receivables timing is not established.","author":"Agent-authored public example; reported source or explicit assumption as described"},"/scenarios/base/years/4/closure":{"unit":"AUD","source":"analyst-assumption://nominal-closure","rationale":"Assume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described"},"/scenarios/base/years/4/corporate_cost":{"unit":"AUD","source":"https://www.metalsx.com.au/wp-content/uploads/2026/07/02_MLX_Quarterly-Report_30-June-2026_Final.pdf#page=8","rationale":"Annualized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described"},"/scenarios/bull/discount_rate":{"unit":"fraction","source":"analyst-assumption://discount-rate","rationale":"Illustrative discount rate; not a derived company WACC.","author":"Agent-authored public example; reported source or explicit assumption as described"},"/scenarios/bull/ownership":{"unit":"fraction","source":"https://www.metalsx.com.au/wp-content/uploads/2026/07/02_MLX_Quarterly-Report_30-June-2026_Final.pdf#page=2","rationale":"Reported 50% ownership of Renison; apply once to whole-operation FCF.","author":"Agent-authored public example; reported source or explicit assumption as described"},"/scenarios/bull/residual_value":{"unit":"AUD","source":"analyst-assumption://finite-horizon","rationale":"No terminal perpetuity or residual asset value; horizon is an unverified stress assumption.","author":"Agent-authored public example; reported source or explicit assumption as described"},"/scenarios/bull/years/0/payable_tonnes":{"unit":"tonnes","source":"https://www.metalsx.com.au/wp-content/uploads/2026/07/02_MLX_Quarterly-Report_30-June-2026_Final.pdf#page=2","rationale":"TTM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described"},"/scenarios/bull/years/0/price":{"unit":"AUD/tonne","source":"https://www.metalsx.com.au/wp-content/uploads/2026/07/02_MLX_Quarterly-Report_30-June-2026_Final.pdf#page=2","rationale":"TTM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described"},"/scenarios/bull/years/0/fx":{"unit":"AUD/AUD","source":"https://www.metalsx.com.au/wp-content/uploads/2026/07/02_MLX_Quarterly-Report_30-June-2026_Final.pdf#page=2","rationale":"All imputed price/costs reported in AUD; identity conversion.","author":"Agent-authored public example; reported source or explicit assumption as described"},"/scenarios/bull/years/0/unit_cost":{"unit":"AUD/tonne","source":"https://www.metalsx.com.au/wp-content/uploads/2026/07/02_MLX_Quarterly-Report_30-June-2026_Final.pdf#page=2","rationale":"(TTM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described"},"/scenarios/bull/years/0/royalty_rate":{"unit":"fraction","source":"https://www.metalsx.com.au/wp-content/uploads/2026/07/02_MLX_Quarterly-Report_30-June-2026_Final.pdf#page=3","rationale":"Royalties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described"},"/scenarios/bull/years/0/tax_rate":{"unit":"fraction","source":"analyst-assumption://simplified-tax","rationale":"Assume 30% tax on positive cash-based EBIT; no depreciation shields/losses. Not a verified fiscal forecast.","author":"Agent-authored public example; reported source or explicit assumption as described"},"/scenarios/bull/years/0/depreciation":{"unit":"AUD","source":"analyst-assumption://no-tax-depreciation","rationale":"Assume no depreciation tax shield; uncertain taxable bases need reconciliation.","author":"Agent-authored public example; reported source or explicit assumption as described"},"/scenarios/bull/years/0/capex":{"unit":"AUD","source":"https://www.metalsx.com.au/wp-content/uploads/2026/07/02_MLX_Quarterly-Report_30-June-2026_Final.pdf#page=3","rationale":"Annualize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described"},"/scenarios/bull/years/0/working_capital_change":{"unit":"AUD","source":"analyst-assumption://flat-working-capital","rationale":"Assume zero annual change solely for sensitivity; inventory/receivables timing is not established.","author":"Agent-authored public example; reported source or explicit assumption as described"},"/scenarios/bull/years/0/closure":{"unit":"AUD","source":"analyst-assumption://nominal-closure","rationale":"Assume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described"},"/scenarios/bull/years/0/corporate_cost":{"unit":"AUD","source":"https://www.metalsx.com.au/wp-content/uploads/2026/07/02_MLX_Quarterly-Report_30-June-2026_Final.pdf#page=8","rationale":"Annualized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described"},"/scenarios/bull/years/1/payable_tonnes":{"unit":"tonnes","source":"https://www.metalsx.com.au/wp-content/uploads/2026/07/02_MLX_Quarterly-Report_30-June-2026_Final.pdf#page=2","rationale":"TTM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described"},"/scenarios/bull/years/1/price":{"unit":"AUD/tonne","source":"https://www.metalsx.com.au/wp-content/uploads/2026/07/02_MLX_Quarterly-Report_30-June-2026_Final.pdf#page=2","rationale":"TTM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described"},"/scenarios/bull/years/1/fx":{"unit":"AUD/AUD","source":"https://www.metalsx.com.au/wp-content/uploads/2026/07/02_MLX_Quarterly-Report_30-June-2026_Final.pdf#page=2","rationale":"All imputed price/costs reported in AUD; identity conversion.","author":"Agent-authored public example; reported source or explicit assumption as described"},"/scenarios/bull/years/1/unit_cost":{"unit":"AUD/tonne","source":"https://www.metalsx.com.au/wp-content/uploads/2026/07/02_MLX_Quarterly-Report_30-June-2026_Final.pdf#page=2","rationale":"(TTM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described"},"/scenarios/bull/years/1/royalty_rate":{"unit":"fraction","source":"https://www.metalsx.com.au/wp-content/uploads/2026/07/02_MLX_Quarterly-Report_30-June-2026_Final.pdf#page=3","rationale":"Royalties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described"},"/scenarios/bull/years/1/tax_rate":{"unit":"fraction","source":"analyst-assumption://simplified-tax","rationale":"Assume 30% tax on positive cash-based EBIT; no depreciation shields/losses. Not a verified fiscal forecast.","author":"Agent-authored public example; reported source or explicit assumption as described"},"/scenarios/bull/years/1/depreciation":{"unit":"AUD","source":"analyst-assumption://no-tax-depreciation","rationale":"Assume no depreciation tax shield; uncertain taxable bases need reconciliation.","author":"Agent-authored public example; reported source or explicit assumption as described"},"/scenarios/bull/years/1/capex":{"unit":"AUD","source":"https://www.metalsx.com.au/wp-content/uploads/2026/07/02_MLX_Quarterly-Report_30-June-2026_Final.pdf#page=3","rationale":"Annualize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described"},"/scenarios/bull/years/1/working_capital_change":{"unit":"AUD","source":"analyst-assumption://flat-working-capital","rationale":"Assume zero annual change solely for sensitivity; inventory/receivables timing is not established.","author":"Agent-authored public example; reported source or explicit assumption as described"},"/scenarios/bull/years/1/closure":{"unit":"AUD","source":"analyst-assumption://nominal-closure","rationale":"Assume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described"},"/scenarios/bull/years/1/corporate_cost":{"unit":"AUD","source":"https://www.metalsx.com.au/wp-content/uploads/2026/07/02_MLX_Quarterly-Report_30-June-2026_Final.pdf#page=8","rationale":"Annualized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described"},"/scenarios/bull/years/2/payable_tonnes":{"unit":"tonnes","source":"https://www.metalsx.com.au/wp-content/uploads/2026/07/02_MLX_Quarterly-Report_30-June-2026_Final.pdf#page=2","rationale":"TTM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described"},"/scenarios/bull/years/2/price":{"unit":"AUD/tonne","source":"https://www.metalsx.com.au/wp-content/uploads/2026/07/02_MLX_Quarterly-Report_30-June-2026_Final.pdf#page=2","rationale":"TTM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described"},"/scenarios/bull/years/2/fx":{"unit":"AUD/AUD","source":"https://www.metalsx.com.au/wp-content/uploads/2026/07/02_MLX_Quarterly-Report_30-June-2026_Final.pdf#page=2","rationale":"All imputed price/costs reported in AUD; identity conversion.","author":"Agent-authored public example; reported source or explicit assumption as described"},"/scenarios/bull/years/2/unit_cost":{"unit":"AUD/tonne","source":"https://www.metalsx.com.au/wp-content/uploads/2026/07/02_MLX_Quarterly-Report_30-June-2026_Final.pdf#page=2","rationale":"(TTM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described"},"/scenarios/bull/years/2/royalty_rate":{"unit":"fraction","source":"https://www.metalsx.com.au/wp-content/uploads/2026/07/02_MLX_Quarterly-Report_30-June-2026_Final.pdf#page=3","rationale":"Royalties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described"},"/scenarios/bull/years/2/tax_rate":{"unit":"fraction","source":"analyst-assumption://simplified-tax","rationale":"Assume 30% tax on positive cash-based EBIT; no depreciation shields/losses. Not a verified fiscal forecast.","author":"Agent-authored public example; reported source or explicit assumption as described"},"/scenarios/bull/years/2/depreciation":{"unit":"AUD","source":"analyst-assumption://no-tax-depreciation","rationale":"Assume no depreciation tax shield; uncertain taxable bases need reconciliation.","author":"Agent-authored public example; reported source or explicit assumption as described"},"/scenarios/bull/years/2/capex":{"unit":"AUD","source":"https://www.metalsx.com.au/wp-content/uploads/2026/07/02_MLX_Quarterly-Report_30-June-2026_Final.pdf#page=3","rationale":"Annualize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described"},"/scenarios/bull/years/2/working_capital_change":{"unit":"AUD","source":"analyst-assumption://flat-working-capital","rationale":"Assume zero annual change solely for sensitivity; inventory/receivables timing is not established.","author":"Agent-authored public example; reported source or explicit assumption as described"},"/scenarios/bull/years/2/closure":{"unit":"AUD","source":"analyst-assumption://nominal-closure","rationale":"Assume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described"},"/scenarios/bull/years/2/corporate_cost":{"unit":"AUD","source":"https://www.metalsx.com.au/wp-content/uploads/2026/07/02_MLX_Quarterly-Report_30-June-2026_Final.pdf#page=8","rationale":"Annualized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described"},"/scenarios/bull/years/3/payable_tonnes":{"unit":"tonnes","source":"https://www.metalsx.com.au/wp-content/uploads/2026/07/02_MLX_Quarterly-Report_30-June-2026_Final.pdf#page=2","rationale":"TTM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described"},"/scenarios/bull/years/3/price":{"unit":"AUD/tonne","source":"https://www.metalsx.com.au/wp-content/uploads/2026/07/02_MLX_Quarterly-Report_30-June-2026_Final.pdf#page=2","rationale":"TTM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described"},"/scenarios/bull/years/3/fx":{"unit":"AUD/AUD","source":"https://www.metalsx.com.au/wp-content/uploads/2026/07/02_MLX_Quarterly-Report_30-June-2026_Final.pdf#page=2","rationale":"All imputed price/costs reported in AUD; identity conversion.","author":"Agent-authored public example; reported source or explicit assumption as described"},"/scenarios/bull/years/3/unit_cost":{"unit":"AUD/tonne","source":"https://www.metalsx.com.au/wp-content/uploads/2026/07/02_MLX_Quarterly-Report_30-June-2026_Final.pdf#page=2","rationale":"(TTM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described"},"/scenarios/bull/years/3/royalty_rate":{"unit":"fraction","source":"https://www.metalsx.com.au/wp-content/uploads/2026/07/02_MLX_Quarterly-Report_30-June-2026_Final.pdf#page=3","rationale":"Royalties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described"},"/scenarios/bull/years/3/tax_rate":{"unit":"fraction","source":"analyst-assumption://simplified-tax","rationale":"Assume 30% tax on positive cash-based EBIT; no depreciation shields/losses. Not a verified fiscal forecast.","author":"Agent-authored public example; reported source or explicit assumption as described"},"/scenarios/bull/years/3/depreciation":{"unit":"AUD","source":"analyst-assumption://no-tax-depreciation","rationale":"Assume no depreciation tax shield; uncertain taxable bases need reconciliation.","author":"Agent-authored public example; reported source or explicit assumption as described"},"/scenarios/bull/years/3/capex":{"unit":"AUD","source":"https://www.metalsx.com.au/wp-content/uploads/2026/07/02_MLX_Quarterly-Report_30-June-2026_Final.pdf#page=3","rationale":"Annualize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described"},"/scenarios/bull/years/3/working_capital_change":{"unit":"AUD","source":"analyst-assumption://flat-working-capital","rationale":"Assume zero annual change solely for sensitivity; inventory/receivables timing is not established.","author":"Agent-authored public example; reported source or explicit assumption as described"},"/scenarios/bull/years/3/closure":{"unit":"AUD","source":"analyst-assumption://nominal-closure","rationale":"Assume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described"},"/scenarios/bull/years/3/corporate_cost":{"unit":"AUD","source":"https://www.metalsx.com.au/wp-content/uploads/2026/07/02_MLX_Quarterly-Report_30-June-2026_Final.pdf#page=8","rationale":"Annualized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described"},"/scenarios/bull/years/4/payable_tonnes":{"unit":"tonnes","source":"https://www.metalsx.com.au/wp-content/uploads/2026/07/02_MLX_Quarterly-Report_30-June-2026_Final.pdf#page=2","rationale":"TTM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described"},"/scenarios/bull/years/4/price":{"unit":"AUD/tonne","source":"https://www.metalsx.com.au/wp-content/uploads/2026/07/02_MLX_Quarterly-Report_30-June-2026_Final.pdf#page=2","rationale":"TTM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described"},"/scenarios/bull/years/4/fx":{"unit":"AUD/AUD","source":"https://www.metalsx.com.au/wp-content/uploads/2026/07/02_MLX_Quarterly-Report_30-June-2026_Final.pdf#page=2","rationale":"All imputed price/costs reported in AUD; identity conversion.","author":"Agent-authored public example; reported source or explicit assumption as described"},"/scenarios/bull/years/4/unit_cost":{"unit":"AUD/tonne","source":"https://www.metalsx.com.au/wp-content/uploads/2026/07/02_MLX_Quarterly-Report_30-June-2026_Final.pdf#page=2","rationale":"(TTM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described"},"/scenarios/bull/years/4/royalty_rate":{"unit":"fraction","source":"https://www.metalsx.com.au/wp-content/uploads/2026/07/02_MLX_Quarterly-Report_30-June-2026_Final.pdf#page=3","rationale":"Royalties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described"},"/scenarios/bull/years/4/tax_rate":{"unit":"fraction","source":"analyst-assumption://simplified-tax","rationale":"Assume 30% tax on positive cash-based EBIT; no depreciation shields/losses. Not a verified fiscal forecast.","author":"Agent-authored public example; reported source or explicit assumption as described"},"/scenarios/bull/years/4/depreciation":{"unit":"AUD","source":"analyst-assumption://no-tax-depreciation","rationale":"Assume no depreciation tax shield; uncertain taxable bases need reconciliation.","author":"Agent-authored public example; reported source or explicit assumption as described"},"/scenarios/bull/years/4/capex":{"unit":"AUD","source":"https://www.metalsx.com.au/wp-content/uploads/2026/07/02_MLX_Quarterly-Report_30-June-2026_Final.pdf#page=3","rationale":"Annualize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described"},"/scenarios/bull/years/4/working_capital_change":{"unit":"AUD","source":"analyst-assumption://flat-working-capital","rationale":"Assume zero annual change solely for sensitivity; inventory/receivables timing is not established.","author":"Agent-authored public example; reported source or explicit assumption as described"},"/scenarios/bull/years/4/closure":{"unit":"AUD","source":"analyst-assumption://nominal-closure","rationale":"Assume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described"},"/scenarios/bull/years/4/corporate_cost":{"unit":"AUD","source":"https://www.metalsx.com.au/wp-content/uploads/2026/07/02_MLX_Quarterly-Report_30-June-2026_Final.pdf#page=8","rationale":"Annualized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described"},"/scenarios/bull/years/5/payable_tonnes":{"unit":"tonnes","source":"https://www.metalsx.com.au/wp-content/uploads/2026/07/02_MLX_Quarterly-Report_30-June-2026_Final.pdf#page=2","rationale":"TTM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described"},"/scenarios/bull/years/5/price":{"unit":"AUD/tonne","source":"https://www.metalsx.com.au/wp-content/uploads/2026/07/02_MLX_Quarterly-Report_30-June-2026_Final.pdf#page=2","rationale":"TTM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described"},"/scenarios/bull/years/5/fx":{"unit":"AUD/AUD","source":"https://www.metalsx.com.au/wp-content/uploads/2026/07/02_MLX_Quarterly-Report_30-June-2026_Final.pdf#page=2","rationale":"All imputed price/costs reported in AUD; identity conversion.","author":"Agent-authored public example; reported source or explicit assumption as described"},"/scenarios/bull/years/5/unit_cost":{"unit":"AUD/tonne","source":"https://www.metalsx.com.au/wp-content/uploads/2026/07/02_MLX_Quarterly-Report_30-June-2026_Final.pdf#page=2","rationale":"(TTM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described"},"/scenarios/bull/years/5/royalty_rate":{"unit":"fraction","source":"https://www.metalsx.com.au/wp-content/uploads/2026/07/02_MLX_Quarterly-Report_30-June-2026_Final.pdf#page=3","rationale":"Royalties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described"},"/scenarios/bull/years/5/tax_rate":{"unit":"fraction","source":"analyst-assumption://simplified-tax","rationale":"Assume 30% tax on positive cash-based EBIT; no depreciation shields/losses. Not a verified fiscal forecast.","author":"Agent-authored public example; reported source or explicit assumption as described"},"/scenarios/bull/years/5/depreciation":{"unit":"AUD","source":"analyst-assumption://no-tax-depreciation","rationale":"Assume no depreciation tax shield; uncertain taxable bases need reconciliation.","author":"Agent-authored public example; reported source or explicit assumption as described"},"/scenarios/bull/years/5/capex":{"unit":"AUD","source":"https://www.metalsx.com.au/wp-content/uploads/2026/07/02_MLX_Quarterly-Report_30-June-2026_Final.pdf#page=3","rationale":"Annualize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described"},"/scenarios/bull/years/5/working_capital_change":{"unit":"AUD","source":"analyst-assumption://flat-working-capital","rationale":"Assume zero annual change solely for sensitivity; inventory/receivables timing is not established.","author":"Agent-authored public example; reported source or explicit assumption as described"},"/scenarios/bull/years/5/closure":{"unit":"AUD","source":"analyst-assumption://nominal-closure","rationale":"Assume nominal whole-operation 100m at final model year; zero earlier payments assumed. Not the reported discounted accounting provision.","author</t>
  </si>
  <si>
    <t xml:space="preserve">":"Agent-authored public example; reported source or explicit assumption as described"},"/scenarios/bull/years/5/corporate_cost":{"unit":"AUD","source":"https://www.metalsx.com.au/wp-content/uploads/2026/07/02_MLX_Quarterly-Report_30-June-2026_Final.pdf#page=8","rationale":"Annualized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described"},"/scenarios/bull/years/6/payable_tonnes":{"unit":"tonnes","source":"https://www.metalsx.com.au/wp-content/uploads/2026/07/02_MLX_Quarterly-Report_30-June-2026_Final.pdf#page=2","rationale":"TTM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described"},"/scenarios/bull/years/6/price":{"unit":"AUD/tonne","source":"https://www.metalsx.com.au/wp-content/uploads/2026/07/02_MLX_Quarterly-Report_30-June-2026_Final.pdf#page=2","rationale":"TTM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described"},"/scenarios/bull/years/6/fx":{"unit":"AUD/AUD","source":"https://www.metalsx.com.au/wp-content/uploads/2026/07/02_MLX_Quarterly-Report_30-June-2026_Final.pdf#page=2","rationale":"All imputed price/costs reported in AUD; identity conversion.","author":"Agent-authored public example; reported source or explicit assumption as described"},"/scenarios/bull/years/6/unit_cost":{"unit":"AUD/tonne","source":"https://www.metalsx.com.au/wp-content/uploads/2026/07/02_MLX_Quarterly-Report_30-June-2026_Final.pdf#page=2","rationale":"(TTM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described"},"/scenarios/bull/years/6/royalty_rate":{"unit":"fraction","source":"https://www.metalsx.com.au/wp-content/uploads/2026/07/02_MLX_Quarterly-Report_30-June-2026_Final.pdf#page=3","rationale":"Royalties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described"},"/scenarios/bull/years/6/tax_rate":{"unit":"fraction","source":"analyst-assumption://simplified-tax","rationale":"Assume 30% tax on positive cash-based EBIT; no depreciation shields/losses. Not a verified fiscal forecast.","author":"Agent-authored public example; reported source or explicit assumption as described"},"/scenarios/bull/years/6/depreciation":{"unit":"AUD","source":"analyst-assumption://no-tax-depreciation","rationale":"Assume no depreciation tax shield; uncertain taxable bases need reconciliation.","author":"Agent-authored public example; reported source or explicit assumption as described"},"/scenarios/bull/years/6/capex":{"unit":"AUD","source":"https://www.metalsx.com.au/wp-content/uploads/2026/07/02_MLX_Quarterly-Report_30-June-2026_Final.pdf#page=3","rationale":"Annualize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described"},"/scenarios/bull/years/6/working_capital_change":{"unit":"AUD","source":"analyst-assumption://flat-working-capital","rationale":"Assume zero annual change solely for sensitivity; inventory/receivables timing is not established.","author":"Agent-authored public example; reported source or explicit assumption as described"},"/scenarios/bull/years/6/closure":{"unit":"AUD","source":"analyst-assumption://nominal-closure","rationale":"Assume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described"},"/scenarios/bull/years/6/corporate_cost":{"unit":"AUD","source":"https://www.metalsx.com.au/wp-content/uploads/2026/07/02_MLX_Quarterly-Report_30-June-2026_Final.pdf#page=8","rationale":"Annualized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described"}},"known_limitations":["ILLUSTRATIVE IMPUTED-REVENUE SENSITIVITY ONLY. This is not an actionable fair-value estimate or an investment recommendation.","Production is used solely as the company-style imputed-revenue proxy (100% produced tin sold/paid); it is NOT reported payable sales. The workbook labels it production_tonnes_proxy. Realized payable sales, inventory, settlement timing and revenue must replace this proxy before valuation.","The baseline price AUD63,760/t is the reported trailing-12-month LME-imputed price, NOT realized tin sales price. Scenario price and volume levels are analyst stress assumptions, not company guidance.","Unit cost combines reported trailing-12-month C1 AUD19,349/t and imputed sales/marketing AUD8,089/t. Marketing includes royalties and payable-tin deductions, so separate royalty_rate=0 prevents duplicate deductions. Price-linked marketing behavior is not separately modelled and could materially affect sensitivity.","Finite horizons 3/5/7 years are illustrative assumptions, not reserve-supported mine life. The quarterly report said an updated life-of-mine plan and Ore Reserve were expected in Q3 2026; those updates have not been verified. No perpetuity or residual value is included.","Cash AUD374m is as at June 30 2026; debt AUD3.285m and issued shares886,391,538 are as at December31 2025. These stale mixed-date balances need updated half-year/ASX checks. Issued shares are a proxy, NOT a verified current fully diluted denominator.","Closure is an explicit assumed AUD100m whole-operation nominal final-year payment. The reported AUD33.035m group rehabilitation provision is a present-value accounting figure, not this cash-payment estimate; actual scope/timing and other closure sites remain unmodelled.","Capex annualizes June-quarter whole-operation AUD23.4m to AUD93.6m each model year, including both sustaining and project spend. This is a scenario assumption, not guidance. No additional AISC deduction is made.","Annual corporate costs annualize group June-quarter AUD0.56m to AUD2.24m, deducted once after 50% attribution. Other investments/residual assets are set to zero only to exclude them from this limited sensitivity, not because they have zero economic value.","Tax rate30% is an analyst simplifying assumption; depreciation is assumed zero and no loss carryforwards, corporate tax shields or closure deductions are modelled. No forecast working-capital changes are assumed; this is not verified operational guidance.","Annual row labels2027 onward denote period-end annualized flows one/two/etc years from the valuation date, not an audited fiscal calendar projection. No remaining2026 stub cash flow is forecast. Forecast years are constant run-rate proxies.","No verified current share quote is supplied. Reverse valuation and price/upside comparisons are unavailable. No actual user portfolio is used.","Historical statement summaries now include FY2025 and FY2024 as reported in the 2025 annual report. This is a selected comparative history, not a full three-year normalization or a linked three-statement forecast. Group consolidated actuals must not be compared directly with unscaled whole-operation model rows."],"notes":"Public worked example. Reported historical figures are transcribed from issuer documents; future inputs are agent-authored illustrative assumptions, not management guidance. See MLX-MODEL-NOTES.md for source-page mapping, sign conventions and reconciliation checks."},"inputs":{"/cash":{"sheet":"Assumptions","cell":"B7"},"/debt":{"sheet":"Assumptions","cell":"B8"},"/other_assets":{"sheet":"Assumptions","cell":"B9"},"/diluted_shares":{"sheet":"Assumptions","cell":"B10"},"/reference_price":{"sheet":"Assumptions","cell":"B11"},"/valuation_date":{"sheet":"Assumptions","cell":"B12"},"/quote_date":{"sheet":"Assumptions","cell":"B13"},"/scenarios/bear/discount_rate":{"sheet":"Assumptions","cell":"B20"},"/scenarios/bear/ownership":{"sheet":"Assumptions","cell":"B21"},"/scenarios/bear/residual_value":{"sheet":"Assumptions","cell":"B22"},"/scenarios/bear/years/0/payable_tonnes":{"sheet":"Assumptions","cell":"C25"},"/scenarios/bear/years/1/payable_tonnes":{"sheet":"Assumptions","cell":"D25"},"/scenarios/bear/years/2/payable_tonnes":{"sheet":"Assumptions","cell":"E25"},"/scenarios/bear/years/0/price":{"sheet":"Assumptions","cell":"C26"},"/scenarios/bear/years/1/price":{"sheet":"Assumptions","cell":"D26"},"/scenarios/bear/years/2/price":{"sheet":"Assumptions","cell":"E26"},"/scenarios/bear/years/0/fx":{"sheet":"Assumptions","cell":"C27"},"/scenarios/bear/years/1/fx":{"sheet":"Assumptions","cell":"D27"},"/scenarios/bear/years/2/fx":{"sheet":"Assumptions","cell":"E27"},"/scenarios/bear/years/0/unit_cost":{"sheet":"Assumptions","cell":"C28"},"/scenarios/bear/years/1/unit_cost":{"sheet":"Assumptions","cell":"D28"},"/scenarios/bear/years/2/unit_cost":{"sheet":"Assumptions","cell":"E28"},"/scenarios/bear/years/0/royalty_rate":{"sheet":"Assumptions","cell":"C29"},"/scenarios/bear/years/1/royalty_rate":{"sheet":"Assumptions","cell":"D29"},"/scenarios/bear/years/2/royalty_rate":{"sheet":"Assumptions","cell":"E29"},"/scenarios/bear/years/0/tax_rate":{"sheet":"Assumptions","cell":"C30"},"/scenarios/bear/years/1/tax_rate":{"sheet":"Assumptions","cell":"D30"},"/scenarios/bear/years/2/tax_rate":{"sheet":"Assumptions","cell":"E30"},"/scenarios/bear/years/0/depreciation":{"sheet":"Assumptions","cell":"C31"},"/scenarios/bear/years/1/depreciation":{"sheet":"Assumptions","cell":"D31"},"/scenarios/bear/years/2/depreciation":{"sheet":"Assumptions","cell":"E31"},"/scenarios/bear/years/0/capex":{"sheet":"Assumptions","cell":"C32"},"/scenarios/bear/years/1/capex":{"sheet":"Assumptions","cell":"D32"},"/scenarios/bear/years/2/capex":{"sheet":"Assumptions","cell":"E32"},"/scenarios/bear/years/0/working_capital_change":{"sheet":"Assumptions","cell":"C33"},"/scenarios/bear/years/1/working_capital_change":{"sheet":"Assumptions","cell":"D33"},"/scenarios/bear/years/2/working_capital_change":{"sheet":"Assumptions","cell":"E33"},"/scenarios/bear/years/0/closure":{"sheet":"Assumptions","cell":"C34"},"/scenarios/bear/years/1/closure":{"sheet":"Assumptions","cell":"D34"},"/scenarios/bear/years/2/closure":{"sheet":"Assumptions","cell":"E34"},"/scenarios/bear/years/0/corporate_cost":{"sheet":"Assumptions","cell":"C35"},"/scenarios/bear/years/1/corporate_cost":{"sheet":"Assumptions","cell":"D35"},"/scenarios/bear/years/2/corporate_cost":{"sheet":"Assumptions","cell":"E35"},"/scenarios/base/discount_rate":{"sheet":"Assumptions","cell":"B39"},"/scenarios/base/ownership":{"sheet":"Assumptions","cell":"B40"},"/scenarios/base/residual_value":{"sheet":"Assumptions","cell":"B41"},"/scenarios/base/years/0/payable_tonnes":{"sheet":"Assumptions","cell":"C44"},"/scenarios/base/years/1/payable_tonnes":{"sheet":"Assumptions","cell":"D44"},"/scenarios/base/years/2/payable_tonnes":{"sheet":"Assumptions","cell":"E44"},"/scenarios/base/years/3/payable_tonnes":{"sheet":"Assumptions","cell":"F44"},"/scenarios/base/years/4/payable_tonnes":{"sheet":"Assumptions","cell":"G44"},"/scenarios/base/years/0/price":{"sheet":"Assumptions","cell":"C45"},"/scenarios/base/years/1/price":{"sheet":"Assumptions","cell":"D45"},"/scenarios/base/years/2/price":{"sheet":"Assumptions","cell":"E45"},"/scenarios/base/years/3/price":{"sheet":"Assumptions","cell":"F45"},"/scenarios/base/years/4/price":{"sheet":"Assumptions","cell":"G45"},"/scenarios/base/years/0/fx":{"sheet":"Assumptions","cell":"C46"},"/scenarios/base/years/1/fx":{"sheet":"Assumptions","cell":"D46"},"/scenarios/base/years/2/fx":{"sheet":"Assumptions","cell":"E46"},"/scenarios/base/years/3/fx":{"sheet":"Assumptions","cell":"F46"},"/scenarios/base/years/4/fx":{"sheet":"Assumptions","cell":"G46"},"/scenarios/base/years/0/unit_cost":{"sheet":"Assumptions","cell":"C47"},"/scenarios/base/years/1/unit_cost":{"sheet":"Assumptions","cell":"D47"},"/scenarios/base/years/2/unit_cost":{"sheet":"Assumptions","cell":"E47"},"/scenarios/base/years/3/unit_cost":{"sheet":"Assumptions","cell":"F47"},"/scenarios/base/years/4/unit_cost":{"sheet":"Assumptions","cell":"G47"},"/scenarios/base/years/0/royalty_rate":{"sheet":"Assumptions","cell":"C48"},"/scenarios/base/years/1/royalty_rate":{"sheet":"Assumptions","cell":"D48"},"/scenarios/base/years/2/royalty_rate":{"sheet":"Assumptions","cell":"E48"},"/scenarios/base/years/3/royalty_rate":{"sheet":"Assumptions","cell":"F48"},"/scenarios/base/years/4/royalty_rate":{"sheet":"Assumptions","cell":"G48"},"/scenarios/base/years/0/tax_rate":{"sheet":"Assumptions","cell":"C49"},"/scenarios/base/years/1/tax_rate":{"sheet":"Assumptions","cell":"D49"},"/scenarios/base/years/2/tax_rate":{"sheet":"Assumptions","cell":"E49"},"/scenarios/base/years/3/tax_rate":{"sheet":"Assumptions","cell":"F49"},"/scenarios/base/years/4/tax_rate":{"sheet":"Assumptions","cell":"G49"},"/scenarios/base/years/0/depreciation":{"sheet":"Assumptions","cell":"C50"},"/scenarios/base/years/1/depreciation":{"sheet":"Assumptions","cell":"D50"},"/scenarios/base/years/2/depreciation":{"sheet":"Assumptions","cell":"E50"},"/scenarios/base/years/3/depreciation":{"sheet":"Assumptions","cell":"F50"},"/scenarios/base/years/4/depreciation":{"sheet":"Assumptions","cell":"G50"},"/scenarios/base/years/0/capex":{"sheet":"Assumptions","cell":"C51"},"/scenarios/base/years/1/capex":{"sheet":"Assumptions","cell":"D51"},"/scenarios/base/years/2/capex":{"sheet":"Assumptions","cell":"E51"},"/scenarios/base/years/3/capex":{"sheet":"Assumptions","cell":"F51"},"/scenarios/base/years/4/capex":{"sheet":"Assumptions","cell":"G51"},"/scenarios/base/years/0/working_capital_change":{"sheet":"Assumptions","cell":"C52"},"/scenarios/base/years/1/working_capital_change":{"sheet":"Assumptions","cell":"D52"},"/scenarios/base/years/2/working_capital_change":{"sheet":"Assumptions","cell":"E52"},"/scenarios/base/years/3/working_capital_change":{"sheet":"Assumptions","cell":"F52"},"/scenarios/base/years/4/working_capital_change":{"sheet":"Assumptions","cell":"G52"},"/scenarios/base/years/0/closure":{"sheet":"Assumptions","cell":"C53"},"/scenarios/base/years/1/closure":{"sheet":"Assumptions","cell":"D53"},"/scenarios/base/years/2/closure":{"sheet":"Assumptions","cell":"E53"},"/scenarios/base/years/3/closure":{"sheet":"Assumptions","cell":"F53"},"/scenarios/base/years/4/closure":{"sheet":"Assumptions","cell":"G53"},"/scenarios/base/years/0/corporate_cost":{"sheet":"Assumptions","cell":"C54"},"/scenarios/base/years/1/corporate_cost":{"sheet":"Assumptions","cell":"D54"},"/scenarios/base/years/2/corporate_cost":{"sheet":"Assumptions","cell":"E54"},"/scenarios/base/years/3/corporate_cost":{"sheet":"Assumptions","cell":"F54"},"/scenarios/base/years/4/corporate_cost":{"sheet":"Assumptions","cell":"G54"},"/scenarios/bull/discount_rate":{"sheet":"Assumptions","cell":"B58"},"/scenarios/bull/ownership":{"sheet":"Assumptions","cell":"B59"},"/scenarios/bull/residual_value":{"sheet":"Assumptions","cell":"B60"},"/scenarios/bull/years/0/payable_tonnes":{"sheet":"Assumptions","cell":"C63"},"/scenarios/bull/years/1/payable_tonnes":{"sheet":"Assumptions","cell":"D63"},"/scenarios/bull/years/2/payable_tonnes":{"sheet":"Assumptions","cell":"E63"},"/scenarios/bull/years/3/payable_tonnes":{"sheet":"Assumptions","cell":"F63"},"/scenarios/bull/years/4/payable_tonnes":{"sheet":"Assumptions","cell":"G63"},"/scenarios/bull/years/5/payable_tonnes":{"sheet":"Assumptions","cell":"H63"},"/scenarios/bull/years/6/payable_tonnes":{"sheet":"Assumptions","cell":"I63"},"/scenarios/bull/years/0/price":{"sheet":"Assumptions","cell":"C64"},"/scenarios/bull/years/1/price":{"sheet":"Assumptions","cell":"D64"},"/scenarios/bull/years/2/price":{"sheet":"Assumptions","cell":"E64"},"/scenarios/bull/years/3/price":{"sheet":"Assumptions","cell":"F64"},"/scenarios/bull/years/4/price":{"sheet":"Assumptions","cell":"G64"},"/scenarios/bull/years/5/price":{"sheet":"Assumptions","cell":"H64"},"/scenarios/bull/years/6/price":{"sheet":"Assumptions","cell":"I64"},"/scenarios/bull/years/0/fx":{"sheet":"Assumptions","cell":"C65"},"/scenarios/bull/years/1/fx":{"sheet":"Assumptions","cell":"D65"},"/scenarios/bull/years/2/fx":{"sheet":"Assumptions","cell":"E65"},"/scenarios/bull/years/3/fx":{"sheet":"Assumptions","cell":"F65"},"/scenarios/bull/years/4/fx":{"sheet":"Assumptions","cell":"G65"},"/scenarios/bull/years/5/fx":{"sheet":"Assumptions","cell":"H65"},"/scenarios/bull/years/6/fx":{"sheet":"Assumptions","cell":"I65"},"/scenarios/bull/years/0/unit_cost":{"sheet":"Assumptions","cell":"C66"},"/scenarios/bull/years/1/unit_cost":{"sheet":"Assumptions","cell":"D66"},"/scenarios/bull/years/2/unit_cost":{"sheet":"Assumptions","cell":"E66"},"/scenarios/bull/years/3/unit_cost":{"sheet":"Assumptions","cell":"F66"},"/scenarios/bull/years/4/unit_cost":{"sheet":"Assumptions","cell":"G66"},"/scenarios/bull/years/5/unit_cost":{"sheet":"Assumptions","cell":"H66"},"/scenarios/bull/years/6/unit_cost":{"sheet":"Assumptions","cell":"I66"},"/scenarios/bull/years/0/royalty_rate":{"sheet":"Assumptions","cell":"C67"},"/scenarios/bull/years/1/royalty_rate":{"sheet":"Assumptions","cell":"D67"},"/scenarios/bull/years/2/royalty_rate":{"sheet":"Assumptions","cell":"E67"},"/scenarios/bull/years/3/royalty_rate":{"sheet":"Assumptions","cell":"F67"},"/scenarios/bull/years/4/royalty_rate":{"sheet":"Assumptions","cell":"G67"},"/scenarios/bull/years/5/royalty_rate":{"sheet":"Assumptions","cell":"H67"},"/scenarios/bull/years/6/royalty_rate":{"sheet":"Assumptions","cell":"I67"},"/scenarios/bull/years/0/tax_rate":{"sheet":"Assumptions","cell":"C68"},"/scenarios/bull/years/1/tax_rate":{"sheet":"Assumptions","cell":"D68"},"/scenarios/bull/years/2/tax_rate":{"sheet":"Assumptions","cell":"E68"},"/scenarios/bull/years/3/tax_rate":{"sheet":"Assumptions","cell":"F68"},"/scenarios/bull/years/4/tax_rate":{"sheet":"Assumptions","cell":"G68"},"/scenarios/bull/years/5/tax_rate":{"sheet":"Assumptions","cell":"H68"},"/scenarios/bull/years/6/tax_rate":{"sheet":"Assumptions","cell":"I68"},"/scenarios/bull/years/0/depreciation":{"sheet":"Assumptions","cell":"C69"},"/scenarios/bull/years/1/depreciation":{"sheet":"Assumptions","cell":"D69"},"/scenarios/bull/years/2/depreciation":{"sheet":"Assumptions","cell":"E69"},"/scenarios/bull/years/3/depreciation":{"sheet":"Assumptions","cell":"F69"},"/scenarios/bull/years/4/depreciation":{"sheet":"Assumptions","cell":"G69"},"/scenarios/bull/years/5/depreciation":{"sheet":"Assumptions","cell":"H69"},"/scenarios/bull/years/6/depreciation":{"sheet":"Assumptions","cell":"I69"},"/scenarios/bull/years/0/capex":{"sheet":"Assumptions","cell":"C70"},"/scenarios/bull/years/1/capex":{"sheet":"Assumptions","cell":"D70"},"/scenarios/bull/years/2/capex":{"sheet":"Assumptions","cell":"E70"},"/scenarios/bull/years/3/capex":{"sheet":"Assumptions","cell":"F70"},"/scenarios/bull/years/4/capex":{"sheet":"Assumptions","cell":"G70"},"/scenarios/bull/years/5/capex":{"sheet":"Assumptions","cell":"H70"},"/scenarios/bull/years/6/capex":{"sheet":"Assumptions","cell":"I70"},"/scenarios/bull/years/0/working_capital_change":{"sheet":"Assumptions","cell":"C71"},"/scenarios/bull/years/1/working_capital_change":{"sheet":"Assumptions","cell":"D71"},"/scenarios/bull/years/2/working_capital_change":{"sheet":"Assumptions","cell":"E71"},"/scenarios/bull/years/3/working_capital_change":{"sheet":"Assumptions","cell":"F71"},"/scenarios/bull/years/4/working_capital_change":{"sheet":"Assumptions","cell":"G71"},"/scenarios/bull/years/5/working_capital_change":{"sheet":"Assumptions","cell":"H71"},"/scenarios/bull/years/6/working_capital_change":{"sheet":"Assumptions","cell":"I71"},"/scenarios/bull/years/0/closure":{"sheet":"Assumptions","cell":"C72"},"/scenarios/bull/years/1/closure":{"sheet":"Assumptions","cell":"D72"},"/scenarios/bull/years/2/closure":{"sheet":"Assumptions","cell":"E72"},"/scenarios/bull/years/3/closure":{"sheet":"Assumptions","cell":"F72"},"/scenarios/bull/years/4/closure":{"sheet":"Assumptions","cell":"G72"},"/scenarios/bull/years/5/closure":{"sheet":"Assumptions","cell":"H72"},"/scenarios/bull/years/6/closure":{"sheet":"Assumptions","cell":"I72"},"/scenarios/bull/years/0/corporate_cost":{"sheet":"Assumptions","cell":"C73"},"/scenarios/bull/years/1/corporate_cost":{"sheet":"Assumptions","cell":"D73"},"/scenarios/bull/years/2/corporate_cost":{"sheet":"Assumptions","cell":"E73"},"/scenarios/bull/years/3/corporate_cost":{"sheet":"Assumptions","cell":"F73"},"/scenarios/bull/years/4/corporate_cost":{"sheet":"Assumptions","cell":"G73"},"/scenarios/bull/years/5/corporate_cost":{"sheet":"Assumptions","cell":"H73"},"/scenarios/bull/years/6/corporate_cost":{"sheet":"Assumptions","cell":"I73"}},"outputs":{"active_case":{"sheet":"Assumptions","cell":"B4"},"years/0/year":{"sheet":"Operating","cell":"C9"},"years/0/revenue":{"sheet":"Operating","cell":"C23"},"years/0/operating_cost":{"sheet":"Operating","cell":"C24"},"years/0/royalties":{"sheet":"Operating","cell":"C25"},"years/0/ebit":{"sheet":"Operating","cell":"C26"},"years/0/tax":{"sheet":"Operating","cell":"C27"},"years/0/nopat":{"sheet":"Operating","cell":"C28"},"years/0/operating_fcf":{"sheet":"Operating","cell":"C29"},"years/0/fcf":{"sheet":"Operating","cell":"C30"},"years/0/present_value":{"sheet":"Operating","cell":"C31"},"years/0/illustrative_cash":{"sheet":"Operating","cell":"C32"},"years/1/year":{"sheet":"Operating","cell":"D9"},"years/1/revenue":{"sheet":"Operating","cell":"D23"},"years/1/operating_cost":{"sheet":"Operating","cell":"D24"},"years/1/royalties":{"sheet":"Operating","cell":"D25"},"years/1/ebit":{"sheet":"Operating","cell":"D26"},"years/1/tax":{"sheet":"Operating","cell":"D27"},"years/1/nopat":{"sheet":"Operating","cell":"D28"},"years/1/operating_fcf":{"sheet":"Operating","cell":"D29"},"years/1/fcf":{"sheet":"Operating","cell":"D30"},"years/1/present_value":{"sheet":"Operating","cell":"D31"},"years/1/illustrative_cash":{"sheet":"Operating","cell":"D32"},"years/2/year":{"sheet":"Operating","cell":"E9"},"years/2/revenue":{"sheet":"Operating","cell":"E23"},"years/2/operating_cost":{"sheet":"Operating","cell":"E24"},"years/2/royalties":{"sheet":"Operating","cell":"E25"},"years/2/ebit":{"sheet":"Operating","cell":"E26"},"years/2/tax":{"sheet":"Operating","cell":"E27"},"years/2/nopat":{"sheet":"Operating","cell":"E28"},"years/2/operating_fcf":{"sheet":"Operating","cell":"E29"},"years/2/fcf":{"sheet":"Operating","cell":"E30"},"years/2/present_value":{"sheet":"Operating","cell":"E31"},"years/2/illustrative_cash":{"sheet":"Operating","cell":"E32"},"years/3/year":{"sheet":"Operating","cell":"F9"},"years/3/revenue":{"sheet":"Operating","cell":"F23"},"years/3/operating_cost":{"sheet":"Operating","cell":"F24"},"years/3/royalties":{"sheet":"Operating","cell":"F25"},"years/3/ebit":{"sheet":"Operating","cell":"F26"},"years/3/tax":{"sheet":"Operating","cell":"F27"},"years/3/nopat":{"sheet":"Operating","cell":"F28"},"years/3/operating_fcf":{"sheet":"Operating","cell":"F29"},"years/3/fcf":{"sheet":"Operating","cell":"F30"},"years/3/present_value":{"sheet":"Operating","cell":"F31"},"years/3/illustrative_cash":{"sheet":"Operating","cell":"F32"},"years/4/year":{"sheet":"Operating","cell":"G9"},"years/4/revenue":{"sheet":"Operating","cell":"G23"},"years/4/operating_cost":{"sheet":"Operating","cell":"G24"},"years/4/royalties":{"sheet":"Operating","cell":"G25"},"years/4/ebit":{"sheet":"Operating","cell":"G26"},"years/4/tax":{"sheet":"Operating","cell":"G27"},"years/4/nopat":{"sheet":"Operating","cell":"G28"},"years/4/operating_fcf":{"sheet":"Operating","cell":"G29"},"years/4/fcf":{"sheet":"Operating","cell":"G30"},"years/4/present_value":{"sheet":"Operating","cell":"G31"},"years/4/illustrative_cash":{"sheet":"Operating","cell":"G32"},"years/5/year":{"sheet":"Operating","cell":"H9"},"years/5/revenue":{"sheet":"Operating","cell":"H23"},"years/5/operating_cost":{"sheet":"Operating","cell":"H24"},"years/5/royalties":{"sheet":"Operating","cell":"H25"},"years/5/ebit":{"sheet":"Operating","cell":"H26"},"years/5/tax":{"sheet":"Operating","cell":"H27"},"years/5/nopat":{"sheet":"Operating","cell":"H28"},"years/5/operating_fcf":{"sheet":"Operating","cell":"H29"},"years/5/fcf":{"sheet":"Operating","cell":"H30"},"years/5/present_value":{"sheet":"Operating","cell":"H31"},"years/5/illustrative_cash":{"sheet":"Operating","cell":"H32"},"years/6/year":{"sheet":"Operating","cell":"I9"},"years/6/revenue":{"sheet":"Operating","cell":"I23"},"years/6/operating_cost":{"sheet":"Operating","cell":"I24"},"years/6/royalties":{"sheet":"Operating","cell":"I25"},"years/6/ebit":{"sheet":"Operating","cell":"I26"},"years/6/tax":{"sheet":"Operating","cell":"I27"},"years/6/nopat":{"sheet":"Operating","cell":"I28"},"years/6/operating_fcf":{"sheet":"Operating","cell":"I29"},"years/6/fcf":{"sheet":"Operating","cell":"I30"},"years/6/present_value":{"sheet":"Operating","cell":"I31"},"years/6/illustrative_cash":{"sheet":"Operating","cell":"I32"},"enterprise_value":{"sheet":"Valuation","cell":"B5"},"cash":{"sheet":"Valuation","cell":"B6"},"other_assets":{"sheet":"Valuation","cell":"B7"},"debt":{"sheet":"Valuation","cell":"B8"},"equity_value":{"sheet":"Valuation","cell":"B9"},"diluted_shares":{"sheet":"Valuation","cell":"B10"},"per_share":{"sheet":"Valuation","cell":"B11"},"minimum_illustrative_cash":{"sheet":"Valuation","cell":"B12"},"discount_rate/0":{"sheet":"Sensitivities","cell":"C7"},"discount_rate/1":{"sheet":"Sensitivities","cell":"D7"},"discount_rate/2":{"sheet":"Sensitivities","cell":"E7"},"driver_multiplier/0":{"sheet":"Sensitivities","cell":"B8"},"sensitivity/0/0":{"sheet":"Sensitivities","cell":"C8"},"sensitivity/0/1":{"sheet":"Sensitivities","cell":"D8"},"sensitivity/0/2":{"sheet":"Sensitivities","cell":"E8"},"driver_multiplier/1":{"sheet":"Sensitivities","cell":"B9"},"sensitivity/1/0":{"sheet":"Sensitivities","cell":"C9"},"sensitivity/1/1":{"sheet":"Sensitivities","cell":"D9"},"sensitivity/1/2":{"sheet":"Sensitivities","cell":"E9"},"driver_multiplier/2":{"sheet":"Sensitivities","cell":"B10"},"sensitivity/2/0":{"sheet":"Sensitivities","cell":"C10"},"sensitivity/2/1":{"sheet":"Sensitivities","cell":"D10"},"sensitivity/2/2":{"sheet":"Sensitivities","cell":"E10"},"checks/0":{"sheet":"Checks","cell":"B5"},"checks/1":{"sheet":"Checks","cell":"B6"},"checks/2":{"sheet":"Checks","cell":"B7"},"checks/3":{"sheet":"Checks","cell":"B8"},"checks/4":{"sheet":"Checks","cell":"B9"},"checks/5":{"sheet":"Checks","cell":"B10"}},"formula_cells":{"Operating!B4":"=IF(Assumptions!$B$4=\"bear\",'Assumptions'!$B$20,IF(Assumptions!$B$4=\"base\",'Assumptions'!$B$39,'Assumptions'!$B$58))","Operating!B5":"=IF(Assumptions!$B$4=\"bear\",'Assumptions'!$B$21,IF(Assumptions!$B$4=\"base\",'Assumptions'!$B$40,'Assumptions'!$B$59))","Operating!B6":"=IF(Assumptions!$B$4=\"bear\",'Assumptions'!$B$22,IF(Assumptions!$B$4=\"base\",'Assumptions'!$B$41,'Assumptions'!$B$60))","Operating!B7":"=IF(Assumptions!$B$4=\"bear\",'Assumptions'!$B$23,IF(Assumptions!$B$4=\"base\",'Assumptions'!$B$42,'Assumptions'!$B$61))","Operating!B8":"=IF(Assumptions!$B$4=\"bear\",\"imputed_production\",IF(Assumptions!$B$4=\"base\",\"imputed_production\",\"imputed_production\"))","Operating!C9":"=YEAR(DATEVALUE('Assumptions'!$B$12))+1","Operating!C10":"=IF(Assumptions!$B$4=\"bear\",'Assumptions'!$C$25,IF(Assumptions!$B$4=\"base\",'Assumptions'!$C$44,'Assumptions'!$C$63))","Operating!C11":"=IF(Assumptions!$B$4=\"bear\",'Assumptions'!$C$26,IF(Assumptions!$B$4=\"base\",'Assumptions'!$C$45,'Assumptions'!$C$64))","Operating!C12":"=IF(Assumptions!$B$4=\"bear\",'Assumptions'!$C$27,IF(Assumptions!$B$4=\"base\",'Assumptions'!$C$46,'Assumptions'!$C$65))","Operating!C13":"=IF(Assumptions!$B$4=\"bear\",'Assumptions'!$C$28,IF(Assumptions!$B$4=\"base\",'Assumptions'!$C$47,'Assumptions'!$C$66))","Operating!C14":"=IF(Assumptions!$B$4=\"bear\",'Assumptions'!$C$29,IF(Assumptions!$B$4=\"base\",'Assumptions'!$C$48,'Assumptions'!$C$67))","Operating!C15":"=IF(Assumptions!$B$4=\"bear\",'Assumptions'!$C$30,IF(Assumptions!$B$4=\"base\",'Assumptions'!$C$49,'Assumptions'!$C$68))","Operating!C16":"=IF(Assumptions!$B$4=\"bear\",'Assumptions'!$C$31,IF(Assumptions!$B$4=\"base\",'Assumptions'!$C$50,'Assumptions'!$C$69))","Operating!C17":"=IF(Assumptions!$B$4=\"bear\",'Assumptions'!$C$32,IF(Assumptions!$B$4=\"base\",'Assumptions'!$C$51,'Assumptions'!$C$70))","Operating!C18":"=IF(Assumptions!$B$4=\"bear\",'Assumptions'!$C$33,IF(Assumptions!$B$4=\"base\",'Assumptions'!$C$52,'Assumptions'!$C$71))","Operating!C19":"=IF(Assumptions!$B$4=\"bear\",'Assumptions'!$C$34,IF(Assumptions!$B$4=\"base\",'Assumptions'!$C$53,'Assumptions'!$C$72))","Operating!C20":"=IF(Assumptions!$B$4=\"bear\",'Assumptions'!$C$35,IF(Assumptions!$B$4=\"base\",'Assumptions'!$C$54,'Assumptions'!$C$73))","Operating!C23":"='Operating'!$C$10*'Operating'!$C$11*'Operating'!$C$12","Operating!C24":"='Operating'!$C$10*'Operating'!$C$13","Operating!C25":"='Operating'!$C$23*'Operating'!$C$14","Operating!C26":"='Operating'!$C$23-'Operating'!$C$24-'Operating'!$C$25-'Operating'!$C$16","Operating!C27":"=MAX(0,'Operating'!$C$26)*'Operating'!$C$15","Operating!C28":"='Operating'!$C$26-'Operating'!$C$27","Operating!C29":"='Operating'!$C$28+'Operating'!$C$16-'Operating'!$C$17-'Operating'!$C$18-'Operating'!$C$19","Operating!C30":"='Operating'!$C$29*'Operating'!$B$5-'Operating'!$C$20+IF(1='Operating'!$B$7,'Operating'!$B$6,0)","Operating!C31":"='Operating'!$C$30/(1+'Operating'!$B$4)^1","Operating!C32":"='Assumptions'!$B$7+'Operating'!$C$30","Operating!D9":"=YEAR(DATEVALUE('Assumptions'!$B$12))+2","Operating!D10":"=IF(Assumpt</t>
  </si>
  <si>
    <t xml:space="preserve">ions!$B$4=\"bear\",'Assumptions'!$D$25,IF(Assumptions!$B$4=\"base\",'Assumptions'!$D$44,'Assumptions'!$D$63))","Operating!D11":"=IF(Assumptions!$B$4=\"bear\",'Assumptions'!$D$26,IF(Assumptions!$B$4=\"base\",'Assumptions'!$D$45,'Assumptions'!$D$64))","Operating!D12":"=IF(Assumptions!$B$4=\"bear\",'Assumptions'!$D$27,IF(Assumptions!$B$4=\"base\",'Assumptions'!$D$46,'Assumptions'!$D$65))","Operating!D13":"=IF(Assumptions!$B$4=\"bear\",'Assumptions'!$D$28,IF(Assumptions!$B$4=\"base\",'Assumptions'!$D$47,'Assumptions'!$D$66))","Operating!D14":"=IF(Assumptions!$B$4=\"bear\",'Assumptions'!$D$29,IF(Assumptions!$B$4=\"base\",'Assumptions'!$D$48,'Assumptions'!$D$67))","Operating!D15":"=IF(Assumptions!$B$4=\"bear\",'Assumptions'!$D$30,IF(Assumptions!$B$4=\"base\",'Assumptions'!$D$49,'Assumptions'!$D$68))","Operating!D16":"=IF(Assumptions!$B$4=\"bear\",'Assumptions'!$D$31,IF(Assumptions!$B$4=\"base\",'Assumptions'!$D$50,'Assumptions'!$D$69))","Operating!D17":"=IF(Assumptions!$B$4=\"bear\",'Assumptions'!$D$32,IF(Assumptions!$B$4=\"base\",'Assumptions'!$D$51,'Assumptions'!$D$70))","Operating!D18":"=IF(Assumptions!$B$4=\"bear\",'Assumptions'!$D$33,IF(Assumptions!$B$4=\"base\",'Assumptions'!$D$52,'Assumptions'!$D$71))","Operating!D19":"=IF(Assumptions!$B$4=\"bear\",'Assumptions'!$D$34,IF(Assumptions!$B$4=\"base\",'Assumptions'!$D$53,'Assumptions'!$D$72))","Operating!D20":"=IF(Assumptions!$B$4=\"bear\",'Assumptions'!$D$35,IF(Assumptions!$B$4=\"base\",'Assumptions'!$D$54,'Assumptions'!$D$73))","Operating!D23":"='Operating'!$D$10*'Operating'!$D$11*'Operating'!$D$12","Operating!D24":"='Operating'!$D$10*'Operating'!$D$13","Operating!D25":"='Operating'!$D$23*'Operating'!$D$14","Operating!D26":"='Operating'!$D$23-'Operating'!$D$24-'Operating'!$D$25-'Operating'!$D$16","Operating!D27":"=MAX(0,'Operating'!$D$26)*'Operating'!$D$15","Operating!D28":"='Operating'!$D$26-'Operating'!$D$27","Operating!D29":"='Operating'!$D$28+'Operating'!$D$16-'Operating'!$D$17-'Operating'!$D$18-'Operating'!$D$19","Operating!D30":"='Operating'!$D$29*'Operating'!$B$5-'Operating'!$D$20+IF(2='Operating'!$B$7,'Operating'!$B$6,0)","Operating!D31":"='Operating'!$D$30/(1+'Operating'!$B$4)^2","Operating!D32":"='Operating'!$C$32+'Operating'!$D$30","Operating!E9":"=YEAR(DATEVALUE('Assumptions'!$B$12))+3","Operating!E10":"=IF(Assumptions!$B$4=\"bear\",'Assumptions'!$E$25,IF(Assumptions!$B$4=\"base\",'Assumptions'!$E$44,'Assumptions'!$E$63))","Operating!E11":"=IF(Assumptions!$B$4=\"bear\",'Assumptions'!$E$26,IF(Assumptions!$B$4=\"base\",'Assumptions'!$E$45,'Assumptions'!$E$64))","Operating!E12":"=IF(Assumptions!$B$4=\"bear\",'Assumptions'!$E$27,IF(Assumptions!$B$4=\"base\",'Assumptions'!$E$46,'Assumptions'!$E$65))","Operating!E13":"=IF(Assumptions!$B$4=\"bear\",'Assumptions'!$E$28,IF(Assumptions!$B$4=\"base\",'Assumptions'!$E$47,'Assumptions'!$E$66))","Operating!E14":"=IF(Assumptions!$B$4=\"bear\",'Assumptions'!$E$29,IF(Assumptions!$B$4=\"base\",'Assumptions'!$E$48,'Assumptions'!$E$67))","Operating!E15":"=IF(Assumptions!$B$4=\"bear\",'Assumptions'!$E$30,IF(Assumptions!$B$4=\"base\",'Assumptions'!$E$49,'Assumptions'!$E$68))","Operating!E16":"=IF(Assumptions!$B$4=\"bear\",'Assumptions'!$E$31,IF(Assumptions!$B$4=\"base\",'Assumptions'!$E$50,'Assumptions'!$E$69))","Operating!E17":"=IF(Assumptions!$B$4=\"bear\",'Assumptions'!$E$32,IF(Assumptions!$B$4=\"base\",'Assumptions'!$E$51,'Assumptions'!$E$70))","Operating!E18":"=IF(Assumptions!$B$4=\"bear\",'Assumptions'!$E$33,IF(Assumptions!$B$4=\"base\",'Assumptions'!$E$52,'Assumptions'!$E$71))","Operating!E19":"=IF(Assumptions!$B$4=\"bear\",'Assumptions'!$E$34,IF(Assumptions!$B$4=\"base\",'Assumptions'!$E$53,'Assumptions'!$E$72))","Operating!E20":"=IF(Assumptions!$B$4=\"bear\",'Assumptions'!$E$35,IF(Assumptions!$B$4=\"base\",'Assumptions'!$E$54,'Assumptions'!$E$73))","Operating!E23":"='Operating'!$E$10*'Operating'!$E$11*'Operating'!$E$12","Operating!E24":"='Operating'!$E$10*'Operating'!$E$13","Operating!E25":"='Operating'!$E$23*'Operating'!$E$14","Operating!E26":"='Operating'!$E$23-'Operating'!$E$24-'Operating'!$E$25-'Operating'!$E$16","Operating!E27":"=MAX(0,'Operating'!$E$26)*'Operating'!$E$15","Operating!E28":"='Operating'!$E$26-'Operating'!$E$27","Operating!E29":"='Operating'!$E$28+'Operating'!$E$16-'Operating'!$E$17-'Operating'!$E$18-'Operating'!$E$19","Operating!E30":"='Operating'!$E$29*'Operating'!$B$5-'Operating'!$E$20+IF(3='Operating'!$B$7,'Operating'!$B$6,0)","Operating!E31":"='Operating'!$E$30/(1+'Operating'!$B$4)^3","Operating!E32":"='Operating'!$D$32+'Operating'!$E$30","Operating!F9":"=YEAR(DATEVALUE('Assumptions'!$B$12))+4","Operating!F10":"=IF(Assumptions!$B$4=\"bear\",'Assumptions'!$F$25,IF(Assumptions!$B$4=\"base\",'Assumptions'!$F$44,'Assumptions'!$F$63))","Operating!F11":"=IF(Assumptions!$B$4=\"bear\",'Assumptions'!$F$26,IF(Assumptions!$B$4=\"base\",'Assumptions'!$F$45,'Assumptions'!$F$64))","Operating!F12":"=IF(Assumptions!$B$4=\"bear\",'Assumptions'!$F$27,IF(Assumptions!$B$4=\"base\",'Assumptions'!$F$46,'Assumptions'!$F$65))","Operating!F13":"=IF(Assumptions!$B$4=\"bear\",'Assumptions'!$F$28,IF(Assumptions!$B$4=\"base\",'Assumptions'!$F$47,'Assumptions'!$F$66))","Operating!F14":"=IF(Assumptions!$B$4=\"bear\",'Assumptions'!$F$29,IF(Assumptions!$B$4=\"base\",'Assumptions'!$F$48,'Assumptions'!$F$67))","Operating!F15":"=IF(Assumptions!$B$4=\"bear\",'Assumptions'!$F$30,IF(Assumptions!$B$4=\"base\",'Assumptions'!$F$49,'Assumptions'!$F$68))","Operating!F16":"=IF(Assumptions!$B$4=\"bear\",'Assumptions'!$F$31,IF(Assumptions!$B$4=\"base\",'Assumptions'!$F$50,'Assumptions'!$F$69))","Operating!F17":"=IF(Assumptions!$B$4=\"bear\",'Assumptions'!$F$32,IF(Assumptions!$B$4=\"base\",'Assumptions'!$F$51,'Assumptions'!$F$70))","Operating!F18":"=IF(Assumptions!$B$4=\"bear\",'Assumptions'!$F$33,IF(Assumptions!$B$4=\"base\",'Assumptions'!$F$52,'Assumptions'!$F$71))","Operating!F19":"=IF(Assumptions!$B$4=\"bear\",'Assumptions'!$F$34,IF(Assumptions!$B$4=\"base\",'Assumptions'!$F$53,'Assumptions'!$F$72))","Operating!F20":"=IF(Assumptions!$B$4=\"bear\",'Assumptions'!$F$35,IF(Assumptions!$B$4=\"base\",'Assumptions'!$F$54,'Assumptions'!$F$73))","Operating!F23":"='Operating'!$F$10*'Operating'!$F$11*'Operating'!$F$12","Operating!F24":"='Operating'!$F$10*'Operating'!$F$13","Operating!F25":"='Operating'!$F$23*'Operating'!$F$14","Operating!F26":"='Operating'!$F$23-'Operating'!$F$24-'Operating'!$F$25-'Operating'!$F$16","Operating!F27":"=MAX(0,'Operating'!$F$26)*'Operating'!$F$15","Operating!F28":"='Operating'!$F$26-'Operating'!$F$27","Operating!F29":"='Operating'!$F$28+'Operating'!$F$16-'Operating'!$F$17-'Operating'!$F$18-'Operating'!$F$19","Operating!F30":"='Operating'!$F$29*'Operating'!$B$5-'Operating'!$F$20+IF(4='Operating'!$B$7,'Operating'!$B$6,0)","Operating!F31":"='Operating'!$F$30/(1+'Operating'!$B$4)^4","Operating!F32":"='Operating'!$E$32+'Operating'!$F$30","Operating!G9":"=YEAR(DATEVALUE('Assumptions'!$B$12))+5","Operating!G10":"=IF(Assumptions!$B$4=\"bear\",'Assumptions'!$G$25,IF(Assumptions!$B$4=\"base\",'Assumptions'!$G$44,'Assumptions'!$G$63))","Operating!G11":"=IF(Assumptions!$B$4=\"bear\",'Assumptions'!$G$26,IF(Assumptions!$B$4=\"base\",'Assumptions'!$G$45,'Assumptions'!$G$64))","Operating!G12":"=IF(Assumptions!$B$4=\"bear\",'Assumptions'!$G$27,IF(Assumptions!$B$4=\"base\",'Assumptions'!$G$46,'Assumptions'!$G$65))","Operating!G13":"=IF(Assumptions!$B$4=\"bear\",'Assumptions'!$G$28,IF(Assumptions!$B$4=\"base\",'Assumptions'!$G$47,'Assumptions'!$G$66))","Operating!G14":"=IF(Assumptions!$B$4=\"bear\",'Assumptions'!$G$29,IF(Assumptions!$B$4=\"base\",'Assumptions'!$G$48,'Assumptions'!$G$67))","Operating!G15":"=IF(Assumptions!$B$4=\"bear\",'Assumptions'!$G$30,IF(Assumptions!$B$4=\"base\",'Assumptions'!$G$49,'Assumptions'!$G$68))","Operating!G16":"=IF(Assumptions!$B$4=\"bear\",'Assumptions'!$G$31,IF(Assumptions!$B$4=\"base\",'Assumptions'!$G$50,'Assumptions'!$G$69))","Operating!G17":"=IF(Assumptions!$B$4=\"bear\",'Assumptions'!$G$32,IF(Assumptions!$B$4=\"base\",'Assumptions'!$G$51,'Assumptions'!$G$70))","Operating!G18":"=IF(Assumptions!$B$4=\"bear\",'Assumptions'!$G$33,IF(Assumptions!$B$4=\"base\",'Assumptions'!$G$52,'Assumptions'!$G$71))","Operating!G19":"=IF(Assumptions!$B$4=\"bear\",'Assumptions'!$G$34,IF(Assumptions!$B$4=\"base\",'Assumptions'!$G$53,'Assumptions'!$G$72))","Operating!G20":"=IF(Assumptions!$B$4=\"bear\",'Assumptions'!$G$35,IF(Assumptions!$B$4=\"base\",'Assumptions'!$G$54,'Assumptions'!$G$73))","Operating!G23":"='Operating'!$G$10*'Operating'!$G$11*'Operating'!$G$12","Operating!G24":"='Operating'!$G$10*'Operating'!$G$13","Operating!G25":"='Operating'!$G$23*'Operating'!$G$14","Operating!G26":"='Operating'!$G$23-'Operating'!$G$24-'Operating'!$G$25-'Operating'!$G$16","Operating!G27":"=MAX(0,'Operating'!$G$26)*'Operating'!$G$15","Operating!G28":"='Operating'!$G$26-'Operating'!$G$27","Operating!G29":"='Operating'!$G$28+'Operating'!$G$16-'Operating'!$G$17-'Operating'!$G$18-'Operating'!$G$19","Operating!G30":"='Operating'!$G$29*'Operating'!$B$5-'Operating'!$G$20+IF(5='Operating'!$B$7,'Operating'!$B$6,0)","Operating!G31":"='Operating'!$G$30/(1+'Operating'!$B$4)^5","Operating!G32":"='Operating'!$F$32+'Operating'!$G$30","Operating!H9":"=YEAR(DATEVALUE('Assumptions'!$B$12))+6","Operating!H10":"=IF(Assumptions!$B$4=\"bear\",'Assumptions'!$H$25,IF(Assumptions!$B$4=\"base\",'Assumptions'!$H$44,'Assumptions'!$H$63))","Operating!H11":"=IF(Assumptions!$B$4=\"bear\",'Assumptions'!$H$26,IF(Assumptions!$B$4=\"base\",'Assumptions'!$H$45,'Assumptions'!$H$64))","Operating!H12":"=IF(Assumptions!$B$4=\"bear\",'Assumptions'!$H$27,IF(Assumptions!$B$4=\"base\",'Assumptions'!$H$46,'Assumptions'!$H$65))","Operating!H13":"=IF(Assumptions!$B$4=\"bear\",'Assumptions'!$H$28,IF(Assumptions!$B$4=\"base\",'Assumptions'!$H$47,'Assumptions'!$H$66))","Operating!H14":"=IF(Assumptions!$B$4=\"bear\",'Assumptions'!$H$29,IF(Assumptions!$B$4=\"base\",'Assumptions'!$H$48,'Assumptions'!$H$67))","Operating!H15":"=IF(Assumptions!$B$4=\"bear\",'Assumptions'!$H$30,IF(Assumptions!$B$4=\"base\",'Assumptions'!$H$49,'Assumptions'!$H$68))","Operating!H16":"=IF(Assumptions!$B$4=\"bear\",'Assumptions'!$H$31,IF(Assumptions!$B$4=\"base\",'Assumptions'!$H$50,'Assumptions'!$H$69))","Operating!H17":"=IF(Assumptions!$B$4=\"bear\",'Assumptions'!$H$32,IF(Assumptions!$B$4=\"base\",'Assumptions'!$H$51,'Assumptions'!$H$70))","Operating!H18":"=IF(Assumptions!$B$4=\"bear\",'Assumptions'!$H$33,IF(Assumptions!$B$4=\"base\",'Assumptions'!$H$52,'Assumptions'!$H$71))","Operating!H19":"=IF(Assumptions!$B$4=\"bear\",'Assumptions'!$H$34,IF(Assumptions!$B$4=\"base\",'Assumptions'!$H$53,'Assumptions'!$H$72))","Operating!H20":"=IF(Assumptions!$B$4=\"bear\",'Assumptions'!$H$35,IF(Assumptions!$B$4=\"base\",'Assumptions'!$H$54,'Assumptions'!$H$73))","Operating!H23":"='Operating'!$H$10*'Operating'!$H$11*'Operating'!$H$12","Operating!H24":"='Operating'!$H$10*'Operating'!$H$13","Operating!H25":"='Operating'!$H$23*'Operating'!$H$14","Operating!H26":"='Operating'!$H$23-'Operating'!$H$24-'Operating'!$H$25-'Operating'!$H$16","Operating!H27":"=MAX(0,'Operating'!$H$26)*'Operating'!$H$15","Operating!H28":"='Operating'!$H$26-'Operating'!$H$27","Operating!H29":"='Operating'!$H$28+'Operating'!$H$16-'Operating'!$H$17-'Operating'!$H$18-'Operating'!$H$19","Operating!H30":"='Operating'!$H$29*'Operating'!$B$5-'Operating'!$H$20+IF(6='Operating'!$B$7,'Operating'!$B$6,0)","Operating!H31":"='Operating'!$H$30/(1+'Operating'!$B$4)^6","Operating!H32":"='Operating'!$G$32+'Operating'!$H$30","Operating!I9":"=YEAR(DATEVALUE('Assumptions'!$B$12))+7","Operating!I10":"=IF(Assumptions!$B$4=\"bear\",'Assumptions'!$I$25,IF(Assumptions!$B$4=\"base\",'Assumptions'!$I$44,'Assumptions'!$I$63))","Operating!I11":"=IF(Assumptions!$B$4=\"bear\",'Assumptions'!$I$26,IF(Assumptions!$B$4=\"base\",'Assumptions'!$I$45,'Assumptions'!$I$64))","Operating!I12":"=IF(Assumptions!$B$4=\"bear\",'Assumptions'!$I$27,IF(Assumptions!$B$4=\"base\",'Assumptions'!$I$46,'Assumptions'!$I$65))","Operating!I13":"=IF(Assumptions!$B$4=\"bear\",'Assumptions'!$I$28,IF(Assumptions!$B$4=\"base\",'Assumptions'!$I$47,'Assumptions'!$I$66))","Operating!I14":"=IF(Assumptions!$B$4=\"bear\",'Assumptions'!$I$29,IF(Assumptions!$B$4=\"base\",'Assumptions'!$I$48,'Assumptions'!$I$67))","Operating!I15":"=IF(Assumptions!$B$4=\"bear\",'Assumptions'!$I$30,IF(Assumptions!$B$4=\"base\",'Assumptions'!$I$49,'Assumptions'!$I$68))","Operating!I16":"=IF(Assumptions!$B$4=\"bear\",'Assumptions'!$I$31,IF(Assumptions!$B$4=\"base\",'Assumptions'!$I$50,'Assumptions'!$I$69))","Operating!I17":"=IF(Assumptions!$B$4=\"bear\",'Assumptions'!$I$32,IF(Assumptions!$B$4=\"base\",'Assumptions'!$I$51,'Assumptions'!$I$70))","Operating!I18":"=IF(Assumptions!$B$4=\"bear\",'Assumptions'!$I$33,IF(Assumptions!$B$4=\"base\",'Assumptions'!$I$52,'Assumptions'!$I$71))","Operating!I19":"=IF(Assumptions!$B$4=\"bear\",'Assumptions'!$I$34,IF(Assumptions!$B$4=\"base\",'Assumptions'!$I$53,'Assumptions'!$I$72))","Operating!I20":"=IF(Assumptions!$B$4=\"bear\",'Assumptions'!$I$35,IF(Assumptions!$B$4=\"base\",'Assumptions'!$I$54,'Assumptions'!$I$73))","Operating!I23":"='Operating'!$I$10*'Operating'!$I$11*'Operating'!$I$12","Operating!I24":"='Operating'!$I$10*'Operating'!$I$13","Operating!I25":"='Operating'!$I$23*'Operating'!$I$14","Operating!I26":"='Operating'!$I$23-'Operating'!$I$24-'Operating'!$I$25-'Operating'!$I$16","Operating!I27":"=MAX(0,'Operating'!$I$26)*'Operating'!$I$15","Operating!I28":"='Operating'!$I$26-'Operating'!$I$27","Operating!I29":"='Operating'!$I$28+'Operating'!$I$16-'Operating'!$I$17-'Operating'!$I$18-'Operating'!$I$19","Operating!I30":"='Operating'!$I$29*'Operating'!$B$5-'Operating'!$I$20+IF(7='Operating'!$B$7,'Operating'!$B$6,0)","Operating!I31":"='Operating'!$I$30/(1+'Operating'!$B$4)^7","Operating!I32":"='Operating'!$H$32+'Operating'!$I$30","Valuation!B5":"=SUM(Operating!C31:I31)","Valuation!B6":"='Assumptions'!$B$7","Valuation!B7":"='Assumptions'!$B$9","Valuation!B8":"='Assumptions'!$B$8","Valuation!B9":"=B5+B6+B7-B8","Valuation!B10":"='Assumptions'!$B$10","Valuation!B11":"=B9/B10","Valuation!B12":"=MIN('Assumptions'!$B$7,Operating!C32:I32)","Valuation!B15":"=IF('Assumptions'!$B$11=\"\",\"Unavailable\",'Assumptions'!$B$11)","Valuation!B16":"=IF(AND(ISNUMBER(B15),B15&gt;0),B11/B15-1,\"Unavailable\")","Sensitivities!C7":"=MAX(0,'Operating'!$B$4+(-0.02))","Sensitivities!D7":"=MAX(0,'Operating'!$B$4+(0))","Sensitivities!E7":"=MAX(0,'Operating'!$B$4+(0.02))","Sensitivities!C17":"=((((('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C7)^1","Sensitivities!D17":"=((((('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C7)^2","Sensitivities!E17":"=((((('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C7)^3","Sensitivities!F17":"=((((('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C7)^4","Sensitivities!G17":"=((((('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C7)^5","Sensitivities!H17":"=((((('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C7)^6","Sensitivities!I17":"=((((('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C7)^7","Sensitivities!C8":"=(SUM(C17:I17)+'Assumptions'!$B$7+'Assumptions'!$B$9-'Assumptions'!$B$8)/'Assumptions'!$B$10","Sensitivities!C18":"=((((('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D7)^1","Sensitivities!D18":"=((((('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D7)^2","Sensitivities!E18":"=((((('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D7)^3","Sensitivities!F18":"=((((('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D7)^4","Sensitivities!G18":"=((((('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D7)^5","Sensitivities!H18":"=((((('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D7)^6","Sensitivities!I18":"=((((('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D7)^7","Sensitivities!D8":"=(SUM(C18:I18)+'Assumptions'!$B$7+'Assumptions'!$B$9-'Assumptions'!$B$8)/'Assumptions'!$B$10","Sensitivities!C19":"=((((('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E7)^1","Sensitivities!D19":"=((((('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E7)^2","Sensitivities!E19":"=((((('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E7)^3","Sensitivities!F19":"=((((('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E7)^4","Sensitivities!G19":"=((((('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E7)^5","Sensitivities!H19":"=((((('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E7)^6","Sensitivities!I19":"=((((('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E7)^7","Sensitivities!E8":"=(SUM(C19:I19)+'Assumptions'!$B$7+'Assumptions'!$B$9-'Assumptions'!$B$8)/'Assumptions'!$B$10","Sensitivities!C20":"=((((('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C7)^1","Sensitivities!D20":"=((((('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C7)^2","Sensitivities!E20":"=((((('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C7)^3","Sensitivities!F20":"=((((('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C7)^4","Sensitivities!G20":"=((((('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C7)^5","Sensitivities!H20":"=((((('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C7)^6","Sensitivities!I20":"=((((('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C7)^7","Sensitivities!C9":"=(SUM(C20:I20)+'Assumptions'!$B$7+'Assumptions'!$B$9-'Assumptions'!$B$8)/'Assumptions'!$B$10","Sensitivities!C21":"=((((('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D7)^1","Sensitivities!D21":"=((((('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D7)^2","Sensitivities!E21":"=((((('Operating'!$E$10*'Operating'!$E$11*'Operating'!$E$12*$B$9)*(1-'Operating'!$E$14)-'Operating'!$E$10*'Operating'!$E$13-'Operating'!$E$16)-MAX(0,(('Operating'!$E$10*'Operating'!$E$11*'Operating'!$E$12*$B$9)*(1-'Operating'!$E$14)-'Operating'!$E$10*'Operating'!$E$13-'Operating'!$E$16))*'Operating'!$E$15)+'Operating'!$E$16-'Operating'!$E$17-'Operating'!$E$18-'Operating'!$E$19)*'Operating'!$B</t>
  </si>
  <si>
    <t xml:space="preserve">$5-'Operating'!$E$20+IF(3='Operating'!$B$7,'Operating'!$B$6,0))/(1+D7)^3","Sensitivities!F21":"=((((('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D7)^4","Sensitivities!G21":"=((((('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D7)^5","Sensitivities!H21":"=((((('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D7)^6","Sensitivities!I21":"=((((('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D7)^7","Sensitivities!D9":"=(SUM(C21:I21)+'Assumptions'!$B$7+'Assumptions'!$B$9-'Assumptions'!$B$8)/'Assumptions'!$B$10","Sensitivities!C22":"=((((('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E7)^1","Sensitivities!D22":"=((((('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E7)^2","Sensitivities!E22":"=((((('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E7)^3","Sensitivities!F22":"=((((('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E7)^4","Sensitivities!G22":"=((((('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E7)^5","Sensitivities!H22":"=((((('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E7)^6","Sensitivities!I22":"=((((('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E7)^7","Sensitivities!E9":"=(SUM(C22:I22)+'Assumptions'!$B$7+'Assumptions'!$B$9-'Assumptions'!$B$8)/'Assumptions'!$B$10","Sensitivities!C23":"=((((('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C7)^1","Sensitivities!D23":"=((((('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C7)^2","Sensitivities!E23":"=((((('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C7)^3","Sensitivities!F23":"=((((('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C7)^4","Sensitivities!G23":"=((((('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C7)^5","Sensitivities!H23":"=((((('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C7)^6","Sensitivities!I23":"=((((('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C7)^7","Sensitivities!C10":"=(SUM(C23:I23)+'Assumptions'!$B$7+'Assumptions'!$B$9-'Assumptions'!$B$8)/'Assumptions'!$B$10","Sensitivities!C24":"=((((('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D7)^1","Sensitivities!D24":"=((((('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D7)^2","Sensitivities!E24":"=((((('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D7)^3","Sensitivities!F24":"=((((('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D7)^4","Sensitivities!G24":"=((((('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D7)^5","Sensitivities!H24":"=((((('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D7)^6","Sensitivities!I24":"=((((('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D7)^7","Sensitivities!D10":"=(SUM(C24:I24)+'Assumptions'!$B$7+'Assumptions'!$B$9-'Assumptions'!$B$8)/'Assumptions'!$B$10","Sensitivities!C25":"=((((('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E7)^1","Sensitivities!D25":"=((((('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E7)^2","Sensitivities!E25":"=((((('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E7)^3","Sensitivities!F25":"=((((('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E7)^4","Sensitivities!G25":"=((((('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E7)^5","Sensitivities!H25":"=((((('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E7)^6","Sensitivities!I25":"=((((('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E7)^7","Sensitivities!E10":"=(SUM(C25:I25)+'Assumptions'!$B$7+'Assumptions'!$B$9-'Assumptions'!$B$8)/'Assumptions'!$B$10","Checks!B5":"=IF(OR(Assumptions!B4=\"bear\",Assumptions!B4=\"base\",Assumptions!B4=\"bull\"),\"PASS\",\"FAIL\")","Checks!B6":"=IF('Assumptions'!$B$10&gt;0,\"PASS\",\"FAIL\")","Checks!B7":"=IF(ABS(Valuation!B9-(Valuation!B5+Valuation!B6+Valuation!B7-Valuation!B8))&lt;0.01,\"PASS\",\"FAIL\")","Checks!B8":"=IF(ABS(Sensitivities!D9-Valuation!B11)&lt;0.000001,\"PASS\",\"FAIL\")","Checks!B9":"=IF(OR(AND('Assumptions'!$B$11=\"\",'Assumptions'!$B$13=\"\"),AND(ISNUMBER('Assumptions'!$B$11),'Assumptions'!$B$11&gt;0,'Assumptions'!$B$13&lt;&gt;\"\")),\"PASS\",\"FAIL\")","Checks!B10":"=IF(AND('Operating'!$B$5&gt;=0,'Operating'!$B$5&lt;=1),\"PASS\",\"FAIL\")","Summary!B7":"=Assumptions!B4","Summary!B8":"='Valuation'!$B$11","Summary!B9":"='Valuation'!$B$9","Summary!B10":"='Valuation'!$B$12"}}</t>
  </si>
</sst>
</file>

<file path=xl/styles.xml><?xml version="1.0" encoding="utf-8"?>
<styleSheet xmlns="http://schemas.openxmlformats.org/spreadsheetml/2006/main">
  <numFmts count="7">
    <numFmt numFmtId="164" formatCode="General"/>
    <numFmt numFmtId="165" formatCode="0.0000"/>
    <numFmt numFmtId="166" formatCode="#,##0.0,,\m"/>
    <numFmt numFmtId="167" formatCode="#,##0,,\m"/>
    <numFmt numFmtId="168" formatCode="#,##0.00;\(#,##0.00\);\–"/>
    <numFmt numFmtId="169" formatCode="0.0%"/>
    <numFmt numFmtId="170" formatCode="0"/>
  </numFmts>
  <fonts count="19">
    <font>
      <sz val="11"/>
      <color theme="1"/>
      <name val="Calibri"/>
      <family val="2"/>
      <charset val="1"/>
    </font>
    <font>
      <sz val="10"/>
      <name val="Arial"/>
      <family val="0"/>
    </font>
    <font>
      <sz val="10"/>
      <name val="Arial"/>
      <family val="0"/>
    </font>
    <font>
      <sz val="10"/>
      <name val="Arial"/>
      <family val="0"/>
    </font>
    <font>
      <b val="true"/>
      <sz val="21"/>
      <color rgb="FFFFFFFF"/>
      <name val="Aptos"/>
      <family val="2"/>
      <charset val="1"/>
    </font>
    <font>
      <b val="true"/>
      <sz val="11"/>
      <color rgb="FFFFFFFF"/>
      <name val="Aptos"/>
      <family val="2"/>
      <charset val="1"/>
    </font>
    <font>
      <b val="true"/>
      <sz val="15"/>
      <color rgb="FF008000"/>
      <name val="Aptos"/>
      <family val="2"/>
      <charset val="1"/>
    </font>
    <font>
      <sz val="11"/>
      <color rgb="FF243746"/>
      <name val="Aptos"/>
      <family val="2"/>
      <charset val="1"/>
    </font>
    <font>
      <sz val="10"/>
      <color rgb="FF667085"/>
      <name val="Aptos"/>
      <family val="2"/>
      <charset val="1"/>
    </font>
    <font>
      <b val="true"/>
      <sz val="12"/>
      <color rgb="FF142D43"/>
      <name val="Calibri"/>
      <family val="2"/>
    </font>
    <font>
      <sz val="10"/>
      <color rgb="FF000000"/>
      <name val="Calibri"/>
      <family val="2"/>
    </font>
    <font>
      <b val="true"/>
      <sz val="10"/>
      <color rgb="FF000000"/>
      <name val="Calibri"/>
      <family val="2"/>
    </font>
    <font>
      <sz val="11"/>
      <color rgb="FF0000FF"/>
      <name val="Aptos"/>
      <family val="2"/>
      <charset val="1"/>
    </font>
    <font>
      <b val="true"/>
      <sz val="11"/>
      <color theme="1"/>
      <name val="Aptos"/>
      <family val="2"/>
      <charset val="1"/>
    </font>
    <font>
      <sz val="10"/>
      <name val="Arial"/>
      <family val="2"/>
    </font>
    <font>
      <sz val="11"/>
      <color rgb="FF202020"/>
      <name val="Aptos"/>
      <family val="2"/>
      <charset val="1"/>
    </font>
    <font>
      <u val="single"/>
      <sz val="11"/>
      <color theme="10"/>
      <name val="Calibri"/>
      <family val="2"/>
      <charset val="1"/>
    </font>
    <font>
      <sz val="11"/>
      <color rgb="FF008000"/>
      <name val="Aptos"/>
      <family val="2"/>
      <charset val="1"/>
    </font>
    <font>
      <b val="true"/>
      <sz val="11"/>
      <color rgb="FF202020"/>
      <name val="Aptos"/>
      <family val="2"/>
      <charset val="1"/>
    </font>
  </fonts>
  <fills count="6">
    <fill>
      <patternFill patternType="none"/>
    </fill>
    <fill>
      <patternFill patternType="gray125"/>
    </fill>
    <fill>
      <patternFill patternType="solid">
        <fgColor rgb="FF142D43"/>
        <bgColor rgb="FF243746"/>
      </patternFill>
    </fill>
    <fill>
      <patternFill patternType="solid">
        <fgColor rgb="FF28566F"/>
        <bgColor rgb="FF176443"/>
      </patternFill>
    </fill>
    <fill>
      <patternFill patternType="solid">
        <fgColor rgb="FFF0F5FF"/>
        <bgColor rgb="FFF6F9FB"/>
      </patternFill>
    </fill>
    <fill>
      <patternFill patternType="solid">
        <fgColor rgb="FFEAF2F5"/>
        <bgColor rgb="FFE6F4EC"/>
      </patternFill>
    </fill>
  </fills>
  <borders count="3">
    <border diagonalUp="false" diagonalDown="false">
      <left/>
      <right/>
      <top/>
      <bottom/>
      <diagonal/>
    </border>
    <border diagonalUp="false" diagonalDown="false">
      <left/>
      <right/>
      <top/>
      <bottom style="thin"/>
      <diagonal/>
    </border>
    <border diagonalUp="false" diagonalDown="false">
      <left/>
      <right/>
      <top style="thin">
        <color rgb="FFAEC5CE"/>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6" fillId="0" borderId="0" applyFont="true" applyBorder="true" applyAlignment="true" applyProtection="true">
      <alignment horizontal="general" vertical="top" textRotation="0" wrapText="false" indent="0" shrinkToFit="false"/>
      <protection locked="false" hidden="false"/>
    </xf>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8" fontId="12" fillId="4"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9" fontId="12" fillId="4" borderId="0" xfId="0" applyFont="true" applyBorder="false" applyAlignment="false" applyProtection="false">
      <alignment horizontal="general" vertical="bottom" textRotation="0" wrapText="false" indent="0" shrinkToFit="false"/>
      <protection locked="true" hidden="false"/>
    </xf>
    <xf numFmtId="170" fontId="13"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20" applyFont="true" applyBorder="false" applyAlignment="true" applyProtection="true">
      <alignment horizontal="general" vertical="bottom" textRotation="0" wrapText="false" indent="0" shrinkToFit="false"/>
      <protection locked="true" hidden="false"/>
    </xf>
    <xf numFmtId="169" fontId="17" fillId="0" borderId="0" xfId="0" applyFont="true" applyBorder="false" applyAlignment="false" applyProtection="false">
      <alignment horizontal="general" vertical="bottom" textRotation="0" wrapText="false" indent="0" shrinkToFit="false"/>
      <protection locked="true" hidden="false"/>
    </xf>
    <xf numFmtId="168" fontId="17" fillId="0" borderId="0" xfId="0" applyFont="true" applyBorder="false" applyAlignment="false" applyProtection="false">
      <alignment horizontal="general" vertical="bottom" textRotation="0" wrapText="false" indent="0" shrinkToFit="false"/>
      <protection locked="true" hidden="false"/>
    </xf>
    <xf numFmtId="168" fontId="18" fillId="5" borderId="2" xfId="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8">
    <dxf>
      <fill>
        <patternFill patternType="solid">
          <fgColor rgb="FF28566F"/>
          <bgColor rgb="FF000000"/>
        </patternFill>
      </fill>
    </dxf>
    <dxf>
      <fill>
        <patternFill patternType="solid">
          <bgColor rgb="FF000000"/>
        </patternFill>
      </fill>
    </dxf>
    <dxf>
      <fill>
        <patternFill patternType="solid">
          <fgColor rgb="FF243746"/>
          <bgColor rgb="FF000000"/>
        </patternFill>
      </fill>
    </dxf>
    <dxf>
      <fill>
        <patternFill patternType="solid">
          <fgColor rgb="FFFFFFFF"/>
          <bgColor rgb="FF000000"/>
        </patternFill>
      </fill>
    </dxf>
    <dxf>
      <fill>
        <patternFill patternType="solid">
          <fgColor rgb="FF202020"/>
          <bgColor rgb="FF000000"/>
        </patternFill>
      </fill>
    </dxf>
    <dxf>
      <fill>
        <patternFill patternType="solid">
          <fgColor rgb="FF0000FF"/>
          <bgColor rgb="FF000000"/>
        </patternFill>
      </fill>
    </dxf>
    <dxf>
      <font>
        <b val="1"/>
        <color rgb="FF176443"/>
      </font>
      <fill>
        <patternFill>
          <bgColor rgb="FFE6F4EC"/>
        </patternFill>
      </fill>
    </dxf>
    <dxf>
      <font>
        <b val="1"/>
        <color rgb="FFA12232"/>
      </font>
      <fill>
        <patternFill>
          <bgColor rgb="FFFCE9E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87F8E"/>
      <rgbColor rgb="FFAEC5CE"/>
      <rgbColor rgb="FF878787"/>
      <rgbColor rgb="FF9999FF"/>
      <rgbColor rgb="FF993366"/>
      <rgbColor rgb="FFF6F9FB"/>
      <rgbColor rgb="FFE6F4EC"/>
      <rgbColor rgb="FF660066"/>
      <rgbColor rgb="FFFF8080"/>
      <rgbColor rgb="FF0066CC"/>
      <rgbColor rgb="FFCCCCFF"/>
      <rgbColor rgb="FF000080"/>
      <rgbColor rgb="FFFF00FF"/>
      <rgbColor rgb="FFFFFF00"/>
      <rgbColor rgb="FF00FFFF"/>
      <rgbColor rgb="FF800080"/>
      <rgbColor rgb="FF800000"/>
      <rgbColor rgb="FF176443"/>
      <rgbColor rgb="FF0000FF"/>
      <rgbColor rgb="FF00CCFF"/>
      <rgbColor rgb="FFEAF2F5"/>
      <rgbColor rgb="FFF0F5FF"/>
      <rgbColor rgb="FFFCE9EC"/>
      <rgbColor rgb="FF99CCFF"/>
      <rgbColor rgb="FFFF99CC"/>
      <rgbColor rgb="FFCC99FF"/>
      <rgbColor rgb="FFFFCC99"/>
      <rgbColor rgb="FF3366FF"/>
      <rgbColor rgb="FF33CCCC"/>
      <rgbColor rgb="FF99CC00"/>
      <rgbColor rgb="FFFFCC00"/>
      <rgbColor rgb="FFFF9900"/>
      <rgbColor rgb="FFFF6600"/>
      <rgbColor rgb="FF667085"/>
      <rgbColor rgb="FF969696"/>
      <rgbColor rgb="FF142D43"/>
      <rgbColor rgb="FF339966"/>
      <rgbColor rgb="FF003300"/>
      <rgbColor rgb="FF202020"/>
      <rgbColor rgb="FFA12232"/>
      <rgbColor rgb="FF993366"/>
      <rgbColor rgb="FF28566F"/>
      <rgbColor rgb="FF2437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200" b="1" u="none" strike="noStrike">
                <a:solidFill>
                  <a:srgbClr val="142D43"/>
                </a:solidFill>
                <a:uFillTx/>
                <a:latin typeface="Calibri"/>
              </a:rPr>
              <a:t>Attributable free cash flow</a:t>
            </a:r>
          </a:p>
        </c:rich>
      </c:tx>
      <c:overlay val="0"/>
      <c:spPr>
        <a:noFill/>
        <a:ln w="0">
          <a:noFill/>
        </a:ln>
      </c:spPr>
    </c:title>
    <c:autoTitleDeleted val="0"/>
    <c:plotArea>
      <c:barChart>
        <c:barDir val="col"/>
        <c:grouping val="clustered"/>
        <c:varyColors val="0"/>
        <c:ser>
          <c:idx val="0"/>
          <c:order val="0"/>
          <c:tx>
            <c:strRef>
              <c:f>"Attributable free cash flow"</c:f>
              <c:strCache>
                <c:ptCount val="1"/>
                <c:pt idx="0">
                  <c:v>Attributable free cash flow</c:v>
                </c:pt>
              </c:strCache>
            </c:strRef>
          </c:tx>
          <c:spPr>
            <a:solidFill>
              <a:srgbClr val="287F8E"/>
            </a:solidFill>
            <a:ln w="12600">
              <a:solidFill>
                <a:srgbClr val="287F8E"/>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Operating!$C$9:$I$9</c:f>
              <c:multiLvlStrCache>
                <c:ptCount val="1"/>
                <c:lvl>
                  <c:pt idx="0">
                    <c:v>2033</c:v>
                  </c:pt>
                </c:lvl>
                <c:lvl>
                  <c:pt idx="0">
                    <c:v>2032</c:v>
                  </c:pt>
                </c:lvl>
                <c:lvl>
                  <c:pt idx="0">
                    <c:v>2031</c:v>
                  </c:pt>
                </c:lvl>
                <c:lvl>
                  <c:pt idx="0">
                    <c:v>2030</c:v>
                  </c:pt>
                </c:lvl>
                <c:lvl>
                  <c:pt idx="0">
                    <c:v>2029</c:v>
                  </c:pt>
                </c:lvl>
                <c:lvl>
                  <c:pt idx="0">
                    <c:v>2028</c:v>
                  </c:pt>
                </c:lvl>
                <c:lvl>
                  <c:pt idx="0">
                    <c:v>2027</c:v>
                  </c:pt>
                </c:lvl>
              </c:multiLvlStrCache>
            </c:multiLvlStrRef>
          </c:cat>
          <c:val>
            <c:numRef>
              <c:f>Operating!$C$30:$I$30</c:f>
              <c:numCache>
                <c:formatCode>#,##0.00;\(#,##0.00\);\–</c:formatCode>
                <c:ptCount val="7"/>
                <c:pt idx="0">
                  <c:v>94448244.9</c:v>
                </c:pt>
                <c:pt idx="1">
                  <c:v>94448244.9</c:v>
                </c:pt>
                <c:pt idx="2">
                  <c:v>94448244.9</c:v>
                </c:pt>
                <c:pt idx="3">
                  <c:v>94448244.9</c:v>
                </c:pt>
                <c:pt idx="4">
                  <c:v>44448244.9</c:v>
                </c:pt>
                <c:pt idx="5">
                  <c:v>0</c:v>
                </c:pt>
                <c:pt idx="6">
                  <c:v>0</c:v>
                </c:pt>
              </c:numCache>
            </c:numRef>
          </c:val>
        </c:ser>
        <c:gapWidth val="150"/>
        <c:overlap val="0"/>
        <c:axId val="16272943"/>
        <c:axId val="69783871"/>
      </c:barChart>
      <c:catAx>
        <c:axId val="1627294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783871"/>
        <c:crosses val="autoZero"/>
        <c:auto val="1"/>
        <c:lblAlgn val="ctr"/>
        <c:lblOffset val="100"/>
        <c:noMultiLvlLbl val="0"/>
      </c:catAx>
      <c:valAx>
        <c:axId val="69783871"/>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AUD</a:t>
                </a:r>
              </a:p>
            </c:rich>
          </c:tx>
          <c:overlay val="0"/>
          <c:spPr>
            <a:noFill/>
            <a:ln w="0">
              <a:noFill/>
            </a:ln>
          </c:spPr>
        </c:title>
        <c:numFmt formatCode="#,##0,,\m"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6272943"/>
        <c:crosses val="autoZero"/>
        <c:crossBetween val="between"/>
      </c:valAx>
      <c:spPr>
        <a:ln w="0">
          <a:noFill/>
        </a:ln>
      </c:spPr>
    </c:plotArea>
    <c:plotVisOnly val="1"/>
    <c:dispBlanksAs val="gap"/>
  </c:chart>
  <c:spPr>
    <a:solidFill>
      <a:srgbClr val="F6F9FB"/>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200" b="1" u="none" strike="noStrike">
                <a:solidFill>
                  <a:srgbClr val="142D43"/>
                </a:solidFill>
                <a:uFillTx/>
                <a:latin typeface="Calibri"/>
              </a:rPr>
              <a:t>Illustrative cash — excludes financing</a:t>
            </a:r>
          </a:p>
        </c:rich>
      </c:tx>
      <c:overlay val="0"/>
      <c:spPr>
        <a:noFill/>
        <a:ln w="0">
          <a:noFill/>
        </a:ln>
      </c:spPr>
    </c:title>
    <c:autoTitleDeleted val="0"/>
    <c:plotArea>
      <c:lineChart>
        <c:grouping val="standard"/>
        <c:varyColors val="0"/>
        <c:ser>
          <c:idx val="0"/>
          <c:order val="0"/>
          <c:tx>
            <c:strRef>
              <c:f>"Illustrative cash balance"</c:f>
              <c:strCache>
                <c:ptCount val="1"/>
                <c:pt idx="0">
                  <c:v>Illustrative cash balance</c:v>
                </c:pt>
              </c:strCache>
            </c:strRef>
          </c:tx>
          <c:spPr>
            <a:ln w="12600">
              <a:solidFill>
                <a:srgbClr val="287F8E"/>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Operating!$C$9:$I$9</c:f>
              <c:multiLvlStrCache>
                <c:ptCount val="1"/>
                <c:lvl>
                  <c:pt idx="0">
                    <c:v>2033</c:v>
                  </c:pt>
                </c:lvl>
                <c:lvl>
                  <c:pt idx="0">
                    <c:v>2032</c:v>
                  </c:pt>
                </c:lvl>
                <c:lvl>
                  <c:pt idx="0">
                    <c:v>2031</c:v>
                  </c:pt>
                </c:lvl>
                <c:lvl>
                  <c:pt idx="0">
                    <c:v>2030</c:v>
                  </c:pt>
                </c:lvl>
                <c:lvl>
                  <c:pt idx="0">
                    <c:v>2029</c:v>
                  </c:pt>
                </c:lvl>
                <c:lvl>
                  <c:pt idx="0">
                    <c:v>2028</c:v>
                  </c:pt>
                </c:lvl>
                <c:lvl>
                  <c:pt idx="0">
                    <c:v>2027</c:v>
                  </c:pt>
                </c:lvl>
              </c:multiLvlStrCache>
            </c:multiLvlStrRef>
          </c:cat>
          <c:val>
            <c:numRef>
              <c:f>Operating!$C$32:$I$32</c:f>
              <c:numCache>
                <c:formatCode>#,##0.00;\(#,##0.00\);\–</c:formatCode>
                <c:ptCount val="7"/>
                <c:pt idx="0">
                  <c:v>468448244.9</c:v>
                </c:pt>
                <c:pt idx="1">
                  <c:v>562896489.8</c:v>
                </c:pt>
                <c:pt idx="2">
                  <c:v>657344734.7</c:v>
                </c:pt>
                <c:pt idx="3">
                  <c:v>751792979.6</c:v>
                </c:pt>
                <c:pt idx="4">
                  <c:v>796241224.5</c:v>
                </c:pt>
                <c:pt idx="5">
                  <c:v>796241224.5</c:v>
                </c:pt>
                <c:pt idx="6">
                  <c:v>796241224.5</c:v>
                </c:pt>
              </c:numCache>
            </c:numRef>
          </c:val>
          <c:smooth val="1"/>
        </c:ser>
        <c:hiLowLines>
          <c:spPr>
            <a:ln w="0">
              <a:noFill/>
            </a:ln>
          </c:spPr>
        </c:hiLowLines>
        <c:marker val="0"/>
        <c:axId val="52017761"/>
        <c:axId val="70453521"/>
      </c:lineChart>
      <c:catAx>
        <c:axId val="5201776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0453521"/>
        <c:crosses val="autoZero"/>
        <c:auto val="1"/>
        <c:lblAlgn val="ctr"/>
        <c:lblOffset val="100"/>
        <c:noMultiLvlLbl val="0"/>
      </c:catAx>
      <c:valAx>
        <c:axId val="70453521"/>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AUD</a:t>
                </a:r>
              </a:p>
            </c:rich>
          </c:tx>
          <c:overlay val="0"/>
          <c:spPr>
            <a:noFill/>
            <a:ln w="0">
              <a:noFill/>
            </a:ln>
          </c:spPr>
        </c:title>
        <c:numFmt formatCode="#,##0,,\m"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2017761"/>
        <c:crosses val="autoZero"/>
        <c:crossBetween val="between"/>
      </c:valAx>
      <c:spPr>
        <a:ln w="0">
          <a:noFill/>
        </a:ln>
      </c:spPr>
    </c:plotArea>
    <c:plotVisOnly val="1"/>
    <c:dispBlanksAs val="gap"/>
  </c:chart>
  <c:spPr>
    <a:solidFill>
      <a:srgbClr val="F6F9FB"/>
    </a:solidFill>
    <a:ln w="9360">
      <a:noFill/>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21</xdr:row>
      <xdr:rowOff>0</xdr:rowOff>
    </xdr:from>
    <xdr:to>
      <xdr:col>2</xdr:col>
      <xdr:colOff>514080</xdr:colOff>
      <xdr:row>30</xdr:row>
      <xdr:rowOff>285120</xdr:rowOff>
    </xdr:to>
    <xdr:graphicFrame>
      <xdr:nvGraphicFramePr>
        <xdr:cNvPr id="1" name="Chart 1"/>
        <xdr:cNvGraphicFramePr/>
      </xdr:nvGraphicFramePr>
      <xdr:xfrm>
        <a:off x="0" y="6000840"/>
        <a:ext cx="5407560" cy="2856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21</xdr:row>
      <xdr:rowOff>0</xdr:rowOff>
    </xdr:from>
    <xdr:to>
      <xdr:col>8</xdr:col>
      <xdr:colOff>418680</xdr:colOff>
      <xdr:row>30</xdr:row>
      <xdr:rowOff>285120</xdr:rowOff>
    </xdr:to>
    <xdr:graphicFrame>
      <xdr:nvGraphicFramePr>
        <xdr:cNvPr id="2" name="Chart 2"/>
        <xdr:cNvGraphicFramePr/>
      </xdr:nvGraphicFramePr>
      <xdr:xfrm>
        <a:off x="7390080" y="6000840"/>
        <a:ext cx="541224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hyperlink" Target="https://www.metalsx.com.au/wp-content/uploads/2026/03/MLX-Annual-Report-31-December-2025.pdf" TargetMode="External"/><Relationship Id="rId2" Type="http://schemas.openxmlformats.org/officeDocument/2006/relationships/hyperlink" Target="https://www.metalsx.com.au/wp-content/uploads/2026/03/MLX-Annual-Report-31-December-2025.pdf" TargetMode="External"/><Relationship Id="rId3" Type="http://schemas.openxmlformats.org/officeDocument/2006/relationships/hyperlink" Target="https://www.metalsx.com.au/wp-content/uploads/2026/03/MLX-Annual-Report-31-December-2025.pdf" TargetMode="External"/><Relationship Id="rId4" Type="http://schemas.openxmlformats.org/officeDocument/2006/relationships/hyperlink" Target="https://www.metalsx.com.au/wp-content/uploads/2026/03/MLX-Annual-Report-31-December-2025.pdf" TargetMode="External"/><Relationship Id="rId5" Type="http://schemas.openxmlformats.org/officeDocument/2006/relationships/hyperlink" Target="https://www.metalsx.com.au/wp-content/uploads/2026/03/MLX-Annual-Report-31-December-2025.pdf" TargetMode="External"/><Relationship Id="rId6" Type="http://schemas.openxmlformats.org/officeDocument/2006/relationships/hyperlink" Target="https://www.metalsx.com.au/wp-content/uploads/2026/03/MLX-Annual-Report-31-December-2025.pdf" TargetMode="External"/><Relationship Id="rId7" Type="http://schemas.openxmlformats.org/officeDocument/2006/relationships/hyperlink" Target="https://www.metalsx.com.au/wp-content/uploads/2026/03/MLX-Annual-Report-31-December-2025.pdf" TargetMode="External"/><Relationship Id="rId8" Type="http://schemas.openxmlformats.org/officeDocument/2006/relationships/hyperlink" Target="https://www.metalsx.com.au/wp-content/uploads/2026/03/MLX-Annual-Report-31-December-2025.pdf" TargetMode="External"/><Relationship Id="rId9" Type="http://schemas.openxmlformats.org/officeDocument/2006/relationships/hyperlink" Target="https://www.metalsx.com.au/wp-content/uploads/2026/03/MLX-Annual-Report-31-December-2025.pdf" TargetMode="External"/><Relationship Id="rId10" Type="http://schemas.openxmlformats.org/officeDocument/2006/relationships/hyperlink" Target="https://www.metalsx.com.au/wp-content/uploads/2026/07/02_MLX_Quarterly-Report_30-June-2026_Final.pdf" TargetMode="External"/><Relationship Id="rId11" Type="http://schemas.openxmlformats.org/officeDocument/2006/relationships/hyperlink" Target="https://www.metalsx.com.au/wp-content/uploads/2026/07/02_MLX_Quarterly-Report_30-June-2026_Final.pdf" TargetMode="External"/><Relationship Id="rId12" Type="http://schemas.openxmlformats.org/officeDocument/2006/relationships/hyperlink" Target="https://www.metalsx.com.au/wp-content/uploads/2026/07/02_MLX_Quarterly-Report_30-June-2026_Final.pdf" TargetMode="External"/><Relationship Id="rId13" Type="http://schemas.openxmlformats.org/officeDocument/2006/relationships/hyperlink" Target="https://www.metalsx.com.au/wp-content/uploads/2026/07/02_MLX_Quarterly-Report_30-June-2026_Final.pdf" TargetMode="External"/><Relationship Id="rId14" Type="http://schemas.openxmlformats.org/officeDocument/2006/relationships/hyperlink" Target="https://www.metalsx.com.au/wp-content/uploads/2026/07/02_MLX_Quarterly-Report_30-June-2026_Final.pdf" TargetMode="External"/><Relationship Id="rId15" Type="http://schemas.openxmlformats.org/officeDocument/2006/relationships/hyperlink" Target="https://www.metalsx.com.au/wp-content/uploads/2026/07/02_MLX_Quarterly-Report_30-June-2026_Final.pdf" TargetMode="External"/><Relationship Id="rId16" Type="http://schemas.openxmlformats.org/officeDocument/2006/relationships/hyperlink" Target="https://www.metalsx.com.au/wp-content/uploads/2026/07/02_MLX_Quarterly-Report_30-June-2026_Final.pdf" TargetMode="External"/><Relationship Id="rId17" Type="http://schemas.openxmlformats.org/officeDocument/2006/relationships/hyperlink" Target="https://www.metalsx.com.au/wp-content/uploads/2026/07/02_MLX_Quarterly-Report_30-June-2026_Final.pdf" TargetMode="External"/><Relationship Id="rId18" Type="http://schemas.openxmlformats.org/officeDocument/2006/relationships/hyperlink" Target="https://www.metalsx.com.au/wp-content/uploads/2026/07/02_MLX_Quarterly-Report_30-June-2026_Final.pdf" TargetMode="External"/><Relationship Id="rId19" Type="http://schemas.openxmlformats.org/officeDocument/2006/relationships/hyperlink" Target="https://www.metalsx.com.au/wp-content/uploads/2026/07/02_MLX_Quarterly-Report_30-June-2026_Final.pdf" TargetMode="External"/><Relationship Id="rId20" Type="http://schemas.openxmlformats.org/officeDocument/2006/relationships/hyperlink" Target="https://www.metalsx.com.au/wp-content/uploads/2026/07/02_MLX_Quarterly-Report_30-June-2026_Final.pdf" TargetMode="External"/><Relationship Id="rId21" Type="http://schemas.openxmlformats.org/officeDocument/2006/relationships/hyperlink" Target="https://www.metalsx.com.au/wp-content/uploads/2026/07/02_MLX_Quarterly-Report_30-June-2026_Final.pdf" TargetMode="External"/><Relationship Id="rId22" Type="http://schemas.openxmlformats.org/officeDocument/2006/relationships/hyperlink" Target="https://www.metalsx.com.au/wp-content/uploads/2026/07/02_MLX_Quarterly-Report_30-June-2026_Final.pdf" TargetMode="External"/><Relationship Id="rId23" Type="http://schemas.openxmlformats.org/officeDocument/2006/relationships/hyperlink" Target="https://www.metalsx.com.au/wp-content/uploads/2026/07/02_MLX_Quarterly-Report_30-June-2026_Final.pdf" TargetMode="External"/><Relationship Id="rId24" Type="http://schemas.openxmlformats.org/officeDocument/2006/relationships/hyperlink" Target="https://www.metalsx.com.au/wp-content/uploads/2026/03/MLX-Annual-Report-31-December-2025.pdf" TargetMode="External"/><Relationship Id="rId25" Type="http://schemas.openxmlformats.org/officeDocument/2006/relationships/hyperlink" Target="https://www.metalsx.com.au/wp-content/uploads/2026/03/MLX-Annual-Report-31-December-2025.pdf" TargetMode="External"/><Relationship Id="rId26" Type="http://schemas.openxmlformats.org/officeDocument/2006/relationships/hyperlink" Target="https://www.metalsx.com.au/wp-content/uploads/2026/03/MLX-Annual-Report-31-December-2025.pdf" TargetMode="External"/><Relationship Id="rId27" Type="http://schemas.openxmlformats.org/officeDocument/2006/relationships/hyperlink" Target="https://www.metalsx.com.au/wp-content/uploads/2026/03/MLX-Annual-Report-31-December-2025.pdf" TargetMode="External"/><Relationship Id="rId28" Type="http://schemas.openxmlformats.org/officeDocument/2006/relationships/hyperlink" Target="https://www.metalsx.com.au/wp-content/uploads/2026/03/MLX-Annual-Report-31-December-2025.pdf" TargetMode="External"/><Relationship Id="rId29" Type="http://schemas.openxmlformats.org/officeDocument/2006/relationships/hyperlink" Target="https://www.metalsx.com.au/wp-content/uploads/2026/03/MLX-Annual-Report-31-December-2025.pdf" TargetMode="External"/><Relationship Id="rId30" Type="http://schemas.openxmlformats.org/officeDocument/2006/relationships/hyperlink" Target="https://www.metalsx.com.au/wp-content/uploads/2026/03/MLX-Annual-Report-31-December-2025.pdf" TargetMode="External"/><Relationship Id="rId31" Type="http://schemas.openxmlformats.org/officeDocument/2006/relationships/hyperlink" Target="https://www.metalsx.com.au/wp-content/uploads/2026/03/MLX-Annual-Report-31-December-2025.pdf" TargetMode="External"/><Relationship Id="rId32" Type="http://schemas.openxmlformats.org/officeDocument/2006/relationships/hyperlink" Target="https://www.metalsx.com.au/wp-content/uploads/2026/03/MLX-Annual-Report-31-December-2025.pdf" TargetMode="External"/><Relationship Id="rId33" Type="http://schemas.openxmlformats.org/officeDocument/2006/relationships/hyperlink" Target="https://www.metalsx.com.au/wp-content/uploads/2026/03/MLX-Annual-Report-31-December-2025.pdf" TargetMode="External"/><Relationship Id="rId34" Type="http://schemas.openxmlformats.org/officeDocument/2006/relationships/hyperlink" Target="https://www.metalsx.com.au/wp-content/uploads/2026/03/MLX-Annual-Report-31-December-2025.pdf" TargetMode="External"/><Relationship Id="rId35" Type="http://schemas.openxmlformats.org/officeDocument/2006/relationships/hyperlink" Target="https://www.metalsx.com.au/wp-content/uploads/2026/03/MLX-Annual-Report-31-December-2025.pdf" TargetMode="External"/><Relationship Id="rId36" Type="http://schemas.openxmlformats.org/officeDocument/2006/relationships/hyperlink" Target="https://www.metalsx.com.au/wp-content/uploads/2026/03/MLX-Annual-Report-31-December-2025.pdf" TargetMode="External"/><Relationship Id="rId37" Type="http://schemas.openxmlformats.org/officeDocument/2006/relationships/hyperlink" Target="https://www.metalsx.com.au/wp-content/uploads/2026/03/MLX-Annual-Report-31-December-2025.pdf" TargetMode="External"/><Relationship Id="rId38" Type="http://schemas.openxmlformats.org/officeDocument/2006/relationships/hyperlink" Target="https://www.metalsx.com.au/wp-content/uploads/2026/03/MLX-Annual-Report-31-December-2025.pdf" TargetMode="External"/><Relationship Id="rId39" Type="http://schemas.openxmlformats.org/officeDocument/2006/relationships/hyperlink" Target="https://www.metalsx.com.au/wp-content/uploads/2026/03/MLX-Annual-Report-31-December-2025.pdf" TargetMode="External"/><Relationship Id="rId40" Type="http://schemas.openxmlformats.org/officeDocument/2006/relationships/hyperlink" Target="https://www.metalsx.com.au/wp-content/uploads/2026/03/MLX-Annual-Report-31-December-2025.pdf" TargetMode="External"/><Relationship Id="rId41" Type="http://schemas.openxmlformats.org/officeDocument/2006/relationships/hyperlink" Target="https://www.metalsx.com.au/wp-content/uploads/2026/03/MLX-Annual-Report-31-December-2025.pdf" TargetMode="External"/><Relationship Id="rId42" Type="http://schemas.openxmlformats.org/officeDocument/2006/relationships/hyperlink" Target="https://www.metalsx.com.au/wp-content/uploads/2026/03/MLX-Annual-Report-31-December-2025.pdf" TargetMode="External"/><Relationship Id="rId43" Type="http://schemas.openxmlformats.org/officeDocument/2006/relationships/hyperlink" Target="https://www.metalsx.com.au/wp-content/uploads/2026/03/MLX-Annual-Report-31-December-2025.pdf" TargetMode="External"/><Relationship Id="rId44" Type="http://schemas.openxmlformats.org/officeDocument/2006/relationships/hyperlink" Target="https://www.metalsx.com.au/wp-content/uploads/2026/03/MLX-Annual-Report-31-December-2025.pdf" TargetMode="External"/><Relationship Id="rId45" Type="http://schemas.openxmlformats.org/officeDocument/2006/relationships/hyperlink" Target="https://www.metalsx.com.au/wp-content/uploads/2026/03/MLX-Annual-Report-31-December-2025.pdf" TargetMode="External"/><Relationship Id="rId46" Type="http://schemas.openxmlformats.org/officeDocument/2006/relationships/hyperlink" Target="https://www.metalsx.com.au/wp-content/uploads/2026/03/MLX-Annual-Report-31-December-2025.pdf" TargetMode="External"/><Relationship Id="rId47" Type="http://schemas.openxmlformats.org/officeDocument/2006/relationships/hyperlink" Target="https://www.metalsx.com.au/wp-content/uploads/2026/03/MLX-Annual-Report-31-December-2025.pdf" TargetMode="External"/><Relationship Id="rId48" Type="http://schemas.openxmlformats.org/officeDocument/2006/relationships/hyperlink" Target="https://www.metalsx.com.au/wp-content/uploads/2026/03/MLX-Annual-Report-31-December-2025.pdf" TargetMode="External"/><Relationship Id="rId49" Type="http://schemas.openxmlformats.org/officeDocument/2006/relationships/hyperlink" Target="https://www.metalsx.com.au/wp-content/uploads/2026/03/MLX-Annual-Report-31-December-2025.pdf" TargetMode="External"/><Relationship Id="rId50" Type="http://schemas.openxmlformats.org/officeDocument/2006/relationships/hyperlink" Target="https://www.metalsx.com.au/wp-content/uploads/2026/03/MLX-Annual-Report-31-December-2025.pdf" TargetMode="External"/><Relationship Id="rId51" Type="http://schemas.openxmlformats.org/officeDocument/2006/relationships/hyperlink" Target="https://www.metalsx.com.au/wp-content/uploads/2026/03/MLX-Annual-Report-31-December-2025.pdf" TargetMode="External"/><Relationship Id="rId52" Type="http://schemas.openxmlformats.org/officeDocument/2006/relationships/hyperlink" Target="https://www.metalsx.com.au/wp-content/uploads/2026/03/MLX-Annual-Report-31-December-2025.pdf" TargetMode="External"/><Relationship Id="rId53" Type="http://schemas.openxmlformats.org/officeDocument/2006/relationships/hyperlink" Target="https://www.metalsx.com.au/wp-content/uploads/2026/03/MLX-Annual-Report-31-December-2025.pdf" TargetMode="External"/><Relationship Id="rId54" Type="http://schemas.openxmlformats.org/officeDocument/2006/relationships/hyperlink" Target="https://www.metalsx.com.au/wp-content/uploads/2026/03/MLX-Annual-Report-31-December-2025.pdf" TargetMode="External"/><Relationship Id="rId55" Type="http://schemas.openxmlformats.org/officeDocument/2006/relationships/hyperlink" Target="https://www.metalsx.com.au/wp-content/uploads/2026/03/MLX-Annual-Report-31-December-2025.pdf" TargetMode="External"/><Relationship Id="rId56" Type="http://schemas.openxmlformats.org/officeDocument/2006/relationships/hyperlink" Target="https://www.metalsx.com.au/wp-content/uploads/2026/03/MLX-Annual-Report-31-December-2025.pdf" TargetMode="External"/><Relationship Id="rId57" Type="http://schemas.openxmlformats.org/officeDocument/2006/relationships/hyperlink" Target="https://www.metalsx.com.au/wp-content/uploads/2026/03/MLX-Annual-Report-31-December-2025.pdf" TargetMode="External"/><Relationship Id="rId58" Type="http://schemas.openxmlformats.org/officeDocument/2006/relationships/hyperlink" Target="https://www.metalsx.com.au/wp-content/uploads/2026/03/MLX-Annual-Report-31-December-2025.pdf" TargetMode="External"/><Relationship Id="rId59" Type="http://schemas.openxmlformats.org/officeDocument/2006/relationships/hyperlink" Target="https://www.metalsx.com.au/wp-content/uploads/2026/03/MLX-Annual-Report-31-December-2025.pdf" TargetMode="External"/><Relationship Id="rId60" Type="http://schemas.openxmlformats.org/officeDocument/2006/relationships/hyperlink" Target="https://www.metalsx.com.au/wp-content/uploads/2026/03/MLX-Annual-Report-31-December-2025.pdf" TargetMode="External"/><Relationship Id="rId61" Type="http://schemas.openxmlformats.org/officeDocument/2006/relationships/hyperlink" Target="https://www.metalsx.com.au/wp-content/uploads/2026/03/MLX-Annual-Report-31-December-2025.pdf" TargetMode="External"/><Relationship Id="rId62" Type="http://schemas.openxmlformats.org/officeDocument/2006/relationships/hyperlink" Target="https://www.metalsx.com.au/wp-content/uploads/2026/03/MLX-Annual-Report-31-December-2025.pdf" TargetMode="External"/><Relationship Id="rId63" Type="http://schemas.openxmlformats.org/officeDocument/2006/relationships/hyperlink" Target="https://www.metalsx.com.au/wp-content/uploads/2026/03/MLX-Annual-Report-31-December-2025.pdf" TargetMode="External"/><Relationship Id="rId64" Type="http://schemas.openxmlformats.org/officeDocument/2006/relationships/hyperlink" Target="https://www.metalsx.com.au/wp-content/uploads/2026/03/MLX-Annual-Report-31-December-2025.pdf" TargetMode="External"/><Relationship Id="rId65" Type="http://schemas.openxmlformats.org/officeDocument/2006/relationships/hyperlink" Target="https://www.metalsx.com.au/wp-content/uploads/2026/03/MLX-Annual-Report-31-December-2025.pdf" TargetMode="External"/><Relationship Id="rId66" Type="http://schemas.openxmlformats.org/officeDocument/2006/relationships/hyperlink" Target="https://www.metalsx.com.au/wp-content/uploads/2026/03/MLX-Annual-Report-31-December-2025.pdf" TargetMode="External"/><Relationship Id="rId67" Type="http://schemas.openxmlformats.org/officeDocument/2006/relationships/hyperlink" Target="https://www.metalsx.com.au/wp-content/uploads/2026/03/MLX-Annual-Report-31-December-2025.pdf" TargetMode="External"/><Relationship Id="rId68" Type="http://schemas.openxmlformats.org/officeDocument/2006/relationships/hyperlink" Target="https://www.metalsx.com.au/wp-content/uploads/2026/03/MLX-Annual-Report-31-December-2025.pdf" TargetMode="External"/><Relationship Id="rId69" Type="http://schemas.openxmlformats.org/officeDocument/2006/relationships/hyperlink" Target="https://www.metalsx.com.au/wp-content/uploads/2026/03/MLX-Annual-Report-31-December-2025.pdf" TargetMode="External"/><Relationship Id="rId70" Type="http://schemas.openxmlformats.org/officeDocument/2006/relationships/hyperlink" Target="https://www.metalsx.com.au/wp-content/uploads/2026/03/MLX-Annual-Report-31-December-2025.pdf" TargetMode="External"/><Relationship Id="rId71" Type="http://schemas.openxmlformats.org/officeDocument/2006/relationships/hyperlink" Target="https://www.metalsx.com.au/wp-content/uploads/2026/03/MLX-Annual-Report-31-December-2025.pdf" TargetMode="External"/><Relationship Id="rId72" Type="http://schemas.openxmlformats.org/officeDocument/2006/relationships/hyperlink" Target="https://www.metalsx.com.au/wp-content/uploads/2026/03/MLX-Annual-Report-31-December-2025.pdf" TargetMode="External"/><Relationship Id="rId73" Type="http://schemas.openxmlformats.org/officeDocument/2006/relationships/hyperlink" Target="https://www.metalsx.com.au/wp-content/uploads/2026/03/MLX-Annual-Report-31-December-2025.pdf" TargetMode="External"/><Relationship Id="rId74"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F8E"/>
    <pageSetUpPr fitToPage="true"/>
  </sheetPr>
  <dimension ref="A1:I19"/>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0</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2" t="s">
        <v>1</v>
      </c>
      <c r="B4" s="2"/>
      <c r="C4" s="2"/>
      <c r="D4" s="2"/>
      <c r="E4" s="2"/>
      <c r="F4" s="2"/>
      <c r="G4" s="2"/>
      <c r="H4" s="2"/>
    </row>
    <row r="5" customFormat="false" ht="22.5" hidden="false" customHeight="true" outlineLevel="0" collapsed="false">
      <c r="A5" s="2"/>
      <c r="B5" s="2"/>
      <c r="C5" s="2"/>
      <c r="D5" s="2"/>
      <c r="E5" s="2"/>
      <c r="F5" s="2"/>
      <c r="G5" s="2"/>
      <c r="H5" s="2"/>
    </row>
    <row r="7" customFormat="false" ht="22.5" hidden="false" customHeight="true" outlineLevel="0" collapsed="false">
      <c r="A7" s="0" t="s">
        <v>2</v>
      </c>
      <c r="B7" s="3" t="str">
        <f aca="false">Assumptions!B4</f>
        <v>base</v>
      </c>
    </row>
    <row r="8" customFormat="false" ht="22.5" hidden="false" customHeight="true" outlineLevel="0" collapsed="false">
      <c r="A8" s="0" t="s">
        <v>3</v>
      </c>
      <c r="B8" s="3" t="n">
        <f aca="false">Valuation!$B$11</f>
        <v>0.787126299267323</v>
      </c>
    </row>
    <row r="9" customFormat="false" ht="22.5" hidden="false" customHeight="true" outlineLevel="0" collapsed="false">
      <c r="A9" s="0" t="s">
        <v>4</v>
      </c>
      <c r="B9" s="4" t="n">
        <f aca="false">Valuation!$B$9</f>
        <v>697702091.007811</v>
      </c>
    </row>
    <row r="10" customFormat="false" ht="22.5" hidden="false" customHeight="true" outlineLevel="0" collapsed="false">
      <c r="A10" s="0" t="s">
        <v>5</v>
      </c>
      <c r="B10" s="4" t="n">
        <f aca="false">Valuation!$B$12</f>
        <v>374000000</v>
      </c>
    </row>
    <row r="12" customFormat="false" ht="22.5" hidden="false" customHeight="true" outlineLevel="0" collapsed="false">
      <c r="A12" s="5" t="s">
        <v>6</v>
      </c>
      <c r="B12" s="5"/>
      <c r="C12" s="5"/>
      <c r="D12" s="5"/>
      <c r="E12" s="5"/>
      <c r="F12" s="5"/>
      <c r="G12" s="5"/>
      <c r="H12" s="5"/>
    </row>
    <row r="13" customFormat="false" ht="22.5" hidden="false" customHeight="true" outlineLevel="0" collapsed="false">
      <c r="A13" s="5"/>
      <c r="B13" s="5"/>
      <c r="C13" s="5"/>
      <c r="D13" s="5"/>
      <c r="E13" s="5"/>
      <c r="F13" s="5"/>
      <c r="G13" s="5"/>
      <c r="H13" s="5"/>
    </row>
    <row r="14" customFormat="false" ht="22.5" hidden="false" customHeight="true" outlineLevel="0" collapsed="false">
      <c r="A14" s="5"/>
      <c r="B14" s="5"/>
      <c r="C14" s="5"/>
      <c r="D14" s="5"/>
      <c r="E14" s="5"/>
      <c r="F14" s="5"/>
      <c r="G14" s="5"/>
      <c r="H14" s="5"/>
    </row>
    <row r="16" customFormat="false" ht="22.5" hidden="false" customHeight="true" outlineLevel="0" collapsed="false">
      <c r="A16" s="6" t="s">
        <v>7</v>
      </c>
      <c r="B16" s="6"/>
      <c r="C16" s="6"/>
      <c r="D16" s="6"/>
      <c r="E16" s="6"/>
      <c r="F16" s="6"/>
      <c r="G16" s="6"/>
      <c r="H16" s="6"/>
    </row>
    <row r="17" customFormat="false" ht="22.5" hidden="false" customHeight="true" outlineLevel="0" collapsed="false">
      <c r="A17" s="6"/>
      <c r="B17" s="6"/>
      <c r="C17" s="6"/>
      <c r="D17" s="6"/>
      <c r="E17" s="6"/>
      <c r="F17" s="6"/>
      <c r="G17" s="6"/>
      <c r="H17" s="6"/>
    </row>
    <row r="18" customFormat="false" ht="22.5" hidden="false" customHeight="true" outlineLevel="0" collapsed="false">
      <c r="A18" s="6"/>
      <c r="B18" s="6"/>
      <c r="C18" s="6"/>
      <c r="D18" s="6"/>
      <c r="E18" s="6"/>
      <c r="F18" s="6"/>
      <c r="G18" s="6"/>
      <c r="H18" s="6"/>
    </row>
    <row r="19" customFormat="false" ht="22.5" hidden="false" customHeight="true" outlineLevel="0" collapsed="false">
      <c r="A19" s="6"/>
      <c r="B19" s="6"/>
      <c r="C19" s="6"/>
      <c r="D19" s="6"/>
      <c r="E19" s="6"/>
      <c r="F19" s="6"/>
      <c r="G19" s="6"/>
      <c r="H19" s="6"/>
    </row>
  </sheetData>
  <mergeCells count="4">
    <mergeCell ref="A1:I2"/>
    <mergeCell ref="A4:H5"/>
    <mergeCell ref="A12:H14"/>
    <mergeCell ref="A16:H19"/>
  </mergeCells>
  <printOptions headings="false" gridLines="false" gridLinesSet="true" horizontalCentered="false" verticalCentered="false"/>
  <pageMargins left="0.3" right="0.3" top="0.4" bottom="0.4" header="0.511811023622047" footer="0.3"/>
  <pageSetup paperSize="9" scale="100" fitToWidth="1" fitToHeight="1" pageOrder="downThenOver" orientation="landscape" blackAndWhite="false" draft="false" cellComments="none" horizontalDpi="300" verticalDpi="300" copies="1"/>
  <headerFooter differentFirst="false" differentOddEven="false">
    <oddHeader/>
    <oddFooter>&amp;Lasx-mlx | Summary&amp;RPage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F8E"/>
    <pageSetUpPr fitToPage="true"/>
  </sheetPr>
  <dimension ref="A1:I7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8</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7" t="s">
        <v>2</v>
      </c>
      <c r="B4" s="8" t="s">
        <v>9</v>
      </c>
      <c r="C4" s="6" t="s">
        <v>10</v>
      </c>
      <c r="D4" s="6"/>
      <c r="E4" s="6"/>
      <c r="F4" s="6"/>
      <c r="G4" s="6"/>
      <c r="H4" s="6"/>
    </row>
    <row r="7" customFormat="false" ht="22.5" hidden="false" customHeight="true" outlineLevel="0" collapsed="false">
      <c r="A7" s="0" t="s">
        <v>11</v>
      </c>
      <c r="B7" s="9" t="n">
        <v>374000000</v>
      </c>
      <c r="C7" s="10" t="s">
        <v>12</v>
      </c>
    </row>
    <row r="8" customFormat="false" ht="22.5" hidden="false" customHeight="true" outlineLevel="0" collapsed="false">
      <c r="A8" s="0" t="s">
        <v>13</v>
      </c>
      <c r="B8" s="9" t="n">
        <v>3285000</v>
      </c>
      <c r="C8" s="10" t="s">
        <v>12</v>
      </c>
    </row>
    <row r="9" customFormat="false" ht="22.5" hidden="false" customHeight="true" outlineLevel="0" collapsed="false">
      <c r="A9" s="0" t="s">
        <v>14</v>
      </c>
      <c r="B9" s="9" t="n">
        <v>0</v>
      </c>
      <c r="C9" s="10" t="s">
        <v>12</v>
      </c>
    </row>
    <row r="10" customFormat="false" ht="22.5" hidden="false" customHeight="true" outlineLevel="0" collapsed="false">
      <c r="A10" s="0" t="s">
        <v>15</v>
      </c>
      <c r="B10" s="9" t="n">
        <v>886391538</v>
      </c>
      <c r="C10" s="10" t="s">
        <v>16</v>
      </c>
    </row>
    <row r="11" customFormat="false" ht="22.5" hidden="false" customHeight="true" outlineLevel="0" collapsed="false">
      <c r="A11" s="0" t="s">
        <v>17</v>
      </c>
      <c r="B11" s="9"/>
      <c r="C11" s="10" t="s">
        <v>18</v>
      </c>
    </row>
    <row r="12" customFormat="false" ht="22.5" hidden="false" customHeight="true" outlineLevel="0" collapsed="false">
      <c r="A12" s="0" t="s">
        <v>19</v>
      </c>
      <c r="B12" s="8" t="s">
        <v>20</v>
      </c>
      <c r="C12" s="10" t="s">
        <v>21</v>
      </c>
    </row>
    <row r="13" customFormat="false" ht="22.5" hidden="false" customHeight="true" outlineLevel="0" collapsed="false">
      <c r="A13" s="0" t="s">
        <v>22</v>
      </c>
      <c r="B13" s="9"/>
      <c r="C13" s="10" t="s">
        <v>21</v>
      </c>
    </row>
    <row r="15" customFormat="false" ht="22.5" hidden="false" customHeight="true" outlineLevel="0" collapsed="false">
      <c r="A15" s="6" t="s">
        <v>23</v>
      </c>
      <c r="B15" s="6"/>
      <c r="C15" s="6"/>
      <c r="D15" s="6"/>
      <c r="E15" s="6"/>
      <c r="F15" s="6"/>
      <c r="G15" s="6"/>
      <c r="H15" s="6"/>
    </row>
    <row r="16" customFormat="false" ht="22.5" hidden="false" customHeight="true" outlineLevel="0" collapsed="false">
      <c r="A16" s="6"/>
      <c r="B16" s="6"/>
      <c r="C16" s="6"/>
      <c r="D16" s="6"/>
      <c r="E16" s="6"/>
      <c r="F16" s="6"/>
      <c r="G16" s="6"/>
      <c r="H16" s="6"/>
    </row>
    <row r="19" customFormat="false" ht="22.5" hidden="false" customHeight="true" outlineLevel="0" collapsed="false">
      <c r="A19" s="2" t="s">
        <v>24</v>
      </c>
      <c r="B19" s="2"/>
      <c r="C19" s="2"/>
      <c r="D19" s="2"/>
      <c r="E19" s="2"/>
      <c r="F19" s="2"/>
      <c r="G19" s="2"/>
      <c r="H19" s="2"/>
      <c r="I19" s="2"/>
    </row>
    <row r="20" customFormat="false" ht="22.5" hidden="false" customHeight="true" outlineLevel="0" collapsed="false">
      <c r="A20" s="0" t="s">
        <v>25</v>
      </c>
      <c r="B20" s="11" t="n">
        <v>0.12</v>
      </c>
    </row>
    <row r="21" customFormat="false" ht="22.5" hidden="false" customHeight="true" outlineLevel="0" collapsed="false">
      <c r="A21" s="0" t="s">
        <v>26</v>
      </c>
      <c r="B21" s="11" t="n">
        <v>0.5</v>
      </c>
    </row>
    <row r="22" customFormat="false" ht="22.5" hidden="false" customHeight="true" outlineLevel="0" collapsed="false">
      <c r="A22" s="0" t="s">
        <v>27</v>
      </c>
      <c r="B22" s="9" t="n">
        <v>0</v>
      </c>
    </row>
    <row r="23" customFormat="false" ht="22.5" hidden="false" customHeight="true" outlineLevel="0" collapsed="false">
      <c r="A23" s="0" t="s">
        <v>28</v>
      </c>
      <c r="B23" s="0" t="n">
        <v>3</v>
      </c>
    </row>
    <row r="24" customFormat="false" ht="22.5" hidden="false" customHeight="true" outlineLevel="0" collapsed="false">
      <c r="C24" s="12" t="n">
        <v>2027</v>
      </c>
      <c r="D24" s="12" t="n">
        <v>2028</v>
      </c>
      <c r="E24" s="12" t="n">
        <v>2029</v>
      </c>
      <c r="F24" s="12" t="n">
        <v>2030</v>
      </c>
      <c r="G24" s="12" t="n">
        <v>2031</v>
      </c>
      <c r="H24" s="12" t="n">
        <v>2032</v>
      </c>
      <c r="I24" s="12" t="n">
        <v>2033</v>
      </c>
    </row>
    <row r="25" customFormat="false" ht="22.5" hidden="false" customHeight="true" outlineLevel="0" collapsed="false">
      <c r="A25" s="0" t="s">
        <v>29</v>
      </c>
      <c r="B25" s="10" t="s">
        <v>30</v>
      </c>
      <c r="C25" s="9" t="n">
        <v>10158.3</v>
      </c>
      <c r="D25" s="9" t="n">
        <v>10158.3</v>
      </c>
      <c r="E25" s="9" t="n">
        <v>10158.3</v>
      </c>
      <c r="F25" s="10" t="n">
        <v>0</v>
      </c>
      <c r="G25" s="10" t="n">
        <v>0</v>
      </c>
      <c r="H25" s="10" t="n">
        <v>0</v>
      </c>
      <c r="I25" s="10" t="n">
        <v>0</v>
      </c>
    </row>
    <row r="26" customFormat="false" ht="22.5" hidden="false" customHeight="true" outlineLevel="0" collapsed="false">
      <c r="A26" s="0" t="s">
        <v>31</v>
      </c>
      <c r="B26" s="10" t="s">
        <v>32</v>
      </c>
      <c r="C26" s="9" t="n">
        <v>51008</v>
      </c>
      <c r="D26" s="9" t="n">
        <v>51008</v>
      </c>
      <c r="E26" s="9" t="n">
        <v>51008</v>
      </c>
      <c r="F26" s="10" t="n">
        <v>0</v>
      </c>
      <c r="G26" s="10" t="n">
        <v>0</v>
      </c>
      <c r="H26" s="10" t="n">
        <v>0</v>
      </c>
      <c r="I26" s="10" t="n">
        <v>0</v>
      </c>
    </row>
    <row r="27" customFormat="false" ht="22.5" hidden="false" customHeight="true" outlineLevel="0" collapsed="false">
      <c r="A27" s="0" t="s">
        <v>33</v>
      </c>
      <c r="B27" s="10" t="s">
        <v>34</v>
      </c>
      <c r="C27" s="9" t="n">
        <v>1</v>
      </c>
      <c r="D27" s="9" t="n">
        <v>1</v>
      </c>
      <c r="E27" s="9" t="n">
        <v>1</v>
      </c>
      <c r="F27" s="10" t="n">
        <v>0</v>
      </c>
      <c r="G27" s="10" t="n">
        <v>0</v>
      </c>
      <c r="H27" s="10" t="n">
        <v>0</v>
      </c>
      <c r="I27" s="10" t="n">
        <v>0</v>
      </c>
    </row>
    <row r="28" customFormat="false" ht="22.5" hidden="false" customHeight="true" outlineLevel="0" collapsed="false">
      <c r="A28" s="0" t="s">
        <v>35</v>
      </c>
      <c r="B28" s="10" t="s">
        <v>32</v>
      </c>
      <c r="C28" s="9" t="n">
        <v>30181.8</v>
      </c>
      <c r="D28" s="9" t="n">
        <v>30181.8</v>
      </c>
      <c r="E28" s="9" t="n">
        <v>30181.8</v>
      </c>
      <c r="F28" s="10" t="n">
        <v>0</v>
      </c>
      <c r="G28" s="10" t="n">
        <v>0</v>
      </c>
      <c r="H28" s="10" t="n">
        <v>0</v>
      </c>
      <c r="I28" s="10" t="n">
        <v>0</v>
      </c>
    </row>
    <row r="29" customFormat="false" ht="22.5" hidden="false" customHeight="true" outlineLevel="0" collapsed="false">
      <c r="A29" s="0" t="s">
        <v>36</v>
      </c>
      <c r="B29" s="10" t="s">
        <v>37</v>
      </c>
      <c r="C29" s="11" t="n">
        <v>0</v>
      </c>
      <c r="D29" s="11" t="n">
        <v>0</v>
      </c>
      <c r="E29" s="11" t="n">
        <v>0</v>
      </c>
      <c r="F29" s="10" t="n">
        <v>0</v>
      </c>
      <c r="G29" s="10" t="n">
        <v>0</v>
      </c>
      <c r="H29" s="10" t="n">
        <v>0</v>
      </c>
      <c r="I29" s="10" t="n">
        <v>0</v>
      </c>
    </row>
    <row r="30" customFormat="false" ht="22.5" hidden="false" customHeight="true" outlineLevel="0" collapsed="false">
      <c r="A30" s="0" t="s">
        <v>38</v>
      </c>
      <c r="B30" s="10" t="s">
        <v>37</v>
      </c>
      <c r="C30" s="11" t="n">
        <v>0.3</v>
      </c>
      <c r="D30" s="11" t="n">
        <v>0.3</v>
      </c>
      <c r="E30" s="11" t="n">
        <v>0.3</v>
      </c>
      <c r="F30" s="10" t="n">
        <v>0</v>
      </c>
      <c r="G30" s="10" t="n">
        <v>0</v>
      </c>
      <c r="H30" s="10" t="n">
        <v>0</v>
      </c>
      <c r="I30" s="10" t="n">
        <v>0</v>
      </c>
    </row>
    <row r="31" customFormat="false" ht="22.5" hidden="false" customHeight="true" outlineLevel="0" collapsed="false">
      <c r="A31" s="0" t="s">
        <v>39</v>
      </c>
      <c r="B31" s="10" t="s">
        <v>12</v>
      </c>
      <c r="C31" s="9" t="n">
        <v>0</v>
      </c>
      <c r="D31" s="9" t="n">
        <v>0</v>
      </c>
      <c r="E31" s="9" t="n">
        <v>0</v>
      </c>
      <c r="F31" s="10" t="n">
        <v>0</v>
      </c>
      <c r="G31" s="10" t="n">
        <v>0</v>
      </c>
      <c r="H31" s="10" t="n">
        <v>0</v>
      </c>
      <c r="I31" s="10" t="n">
        <v>0</v>
      </c>
    </row>
    <row r="32" customFormat="false" ht="22.5" hidden="false" customHeight="true" outlineLevel="0" collapsed="false">
      <c r="A32" s="0" t="s">
        <v>40</v>
      </c>
      <c r="B32" s="10" t="s">
        <v>12</v>
      </c>
      <c r="C32" s="9" t="n">
        <v>93600000</v>
      </c>
      <c r="D32" s="9" t="n">
        <v>93600000</v>
      </c>
      <c r="E32" s="9" t="n">
        <v>93600000</v>
      </c>
      <c r="F32" s="10" t="n">
        <v>0</v>
      </c>
      <c r="G32" s="10" t="n">
        <v>0</v>
      </c>
      <c r="H32" s="10" t="n">
        <v>0</v>
      </c>
      <c r="I32" s="10" t="n">
        <v>0</v>
      </c>
    </row>
    <row r="33" customFormat="false" ht="22.5" hidden="false" customHeight="true" outlineLevel="0" collapsed="false">
      <c r="A33" s="0" t="s">
        <v>41</v>
      </c>
      <c r="B33" s="10" t="s">
        <v>12</v>
      </c>
      <c r="C33" s="9" t="n">
        <v>0</v>
      </c>
      <c r="D33" s="9" t="n">
        <v>0</v>
      </c>
      <c r="E33" s="9" t="n">
        <v>0</v>
      </c>
      <c r="F33" s="10" t="n">
        <v>0</v>
      </c>
      <c r="G33" s="10" t="n">
        <v>0</v>
      </c>
      <c r="H33" s="10" t="n">
        <v>0</v>
      </c>
      <c r="I33" s="10" t="n">
        <v>0</v>
      </c>
    </row>
    <row r="34" customFormat="false" ht="22.5" hidden="false" customHeight="true" outlineLevel="0" collapsed="false">
      <c r="A34" s="0" t="s">
        <v>42</v>
      </c>
      <c r="B34" s="10" t="s">
        <v>12</v>
      </c>
      <c r="C34" s="9" t="n">
        <v>0</v>
      </c>
      <c r="D34" s="9" t="n">
        <v>0</v>
      </c>
      <c r="E34" s="9" t="n">
        <v>100000000</v>
      </c>
      <c r="F34" s="10" t="n">
        <v>0</v>
      </c>
      <c r="G34" s="10" t="n">
        <v>0</v>
      </c>
      <c r="H34" s="10" t="n">
        <v>0</v>
      </c>
      <c r="I34" s="10" t="n">
        <v>0</v>
      </c>
    </row>
    <row r="35" customFormat="false" ht="22.5" hidden="false" customHeight="true" outlineLevel="0" collapsed="false">
      <c r="A35" s="0" t="s">
        <v>43</v>
      </c>
      <c r="B35" s="10" t="s">
        <v>12</v>
      </c>
      <c r="C35" s="9" t="n">
        <v>2240000</v>
      </c>
      <c r="D35" s="9" t="n">
        <v>2240000</v>
      </c>
      <c r="E35" s="9" t="n">
        <v>2240000</v>
      </c>
      <c r="F35" s="10" t="n">
        <v>0</v>
      </c>
      <c r="G35" s="10" t="n">
        <v>0</v>
      </c>
      <c r="H35" s="10" t="n">
        <v>0</v>
      </c>
      <c r="I35" s="10" t="n">
        <v>0</v>
      </c>
    </row>
    <row r="38" customFormat="false" ht="22.5" hidden="false" customHeight="true" outlineLevel="0" collapsed="false">
      <c r="A38" s="2" t="s">
        <v>44</v>
      </c>
      <c r="B38" s="2"/>
      <c r="C38" s="2"/>
      <c r="D38" s="2"/>
      <c r="E38" s="2"/>
      <c r="F38" s="2"/>
      <c r="G38" s="2"/>
      <c r="H38" s="2"/>
      <c r="I38" s="2"/>
    </row>
    <row r="39" customFormat="false" ht="22.5" hidden="false" customHeight="true" outlineLevel="0" collapsed="false">
      <c r="A39" s="0" t="s">
        <v>25</v>
      </c>
      <c r="B39" s="11" t="n">
        <v>0.1</v>
      </c>
    </row>
    <row r="40" customFormat="false" ht="22.5" hidden="false" customHeight="true" outlineLevel="0" collapsed="false">
      <c r="A40" s="0" t="s">
        <v>26</v>
      </c>
      <c r="B40" s="11" t="n">
        <v>0.5</v>
      </c>
    </row>
    <row r="41" customFormat="false" ht="22.5" hidden="false" customHeight="true" outlineLevel="0" collapsed="false">
      <c r="A41" s="0" t="s">
        <v>27</v>
      </c>
      <c r="B41" s="9" t="n">
        <v>0</v>
      </c>
    </row>
    <row r="42" customFormat="false" ht="22.5" hidden="false" customHeight="true" outlineLevel="0" collapsed="false">
      <c r="A42" s="0" t="s">
        <v>28</v>
      </c>
      <c r="B42" s="0" t="n">
        <v>5</v>
      </c>
    </row>
    <row r="43" customFormat="false" ht="22.5" hidden="false" customHeight="true" outlineLevel="0" collapsed="false">
      <c r="C43" s="12" t="n">
        <v>2027</v>
      </c>
      <c r="D43" s="12" t="n">
        <v>2028</v>
      </c>
      <c r="E43" s="12" t="n">
        <v>2029</v>
      </c>
      <c r="F43" s="12" t="n">
        <v>2030</v>
      </c>
      <c r="G43" s="12" t="n">
        <v>2031</v>
      </c>
      <c r="H43" s="12" t="n">
        <v>2032</v>
      </c>
      <c r="I43" s="12" t="n">
        <v>2033</v>
      </c>
    </row>
    <row r="44" customFormat="false" ht="22.5" hidden="false" customHeight="true" outlineLevel="0" collapsed="false">
      <c r="A44" s="0" t="s">
        <v>29</v>
      </c>
      <c r="B44" s="10" t="s">
        <v>30</v>
      </c>
      <c r="C44" s="9" t="n">
        <v>11287</v>
      </c>
      <c r="D44" s="9" t="n">
        <v>11287</v>
      </c>
      <c r="E44" s="9" t="n">
        <v>11287</v>
      </c>
      <c r="F44" s="9" t="n">
        <v>11287</v>
      </c>
      <c r="G44" s="9" t="n">
        <v>11287</v>
      </c>
      <c r="H44" s="10" t="n">
        <v>0</v>
      </c>
      <c r="I44" s="10" t="n">
        <v>0</v>
      </c>
    </row>
    <row r="45" customFormat="false" ht="22.5" hidden="false" customHeight="true" outlineLevel="0" collapsed="false">
      <c r="A45" s="0" t="s">
        <v>31</v>
      </c>
      <c r="B45" s="10" t="s">
        <v>32</v>
      </c>
      <c r="C45" s="9" t="n">
        <v>63760</v>
      </c>
      <c r="D45" s="9" t="n">
        <v>63760</v>
      </c>
      <c r="E45" s="9" t="n">
        <v>63760</v>
      </c>
      <c r="F45" s="9" t="n">
        <v>63760</v>
      </c>
      <c r="G45" s="9" t="n">
        <v>63760</v>
      </c>
      <c r="H45" s="10" t="n">
        <v>0</v>
      </c>
      <c r="I45" s="10" t="n">
        <v>0</v>
      </c>
    </row>
    <row r="46" customFormat="false" ht="22.5" hidden="false" customHeight="true" outlineLevel="0" collapsed="false">
      <c r="A46" s="0" t="s">
        <v>33</v>
      </c>
      <c r="B46" s="10" t="s">
        <v>34</v>
      </c>
      <c r="C46" s="9" t="n">
        <v>1</v>
      </c>
      <c r="D46" s="9" t="n">
        <v>1</v>
      </c>
      <c r="E46" s="9" t="n">
        <v>1</v>
      </c>
      <c r="F46" s="9" t="n">
        <v>1</v>
      </c>
      <c r="G46" s="9" t="n">
        <v>1</v>
      </c>
      <c r="H46" s="10" t="n">
        <v>0</v>
      </c>
      <c r="I46" s="10" t="n">
        <v>0</v>
      </c>
    </row>
    <row r="47" customFormat="false" ht="22.5" hidden="false" customHeight="true" outlineLevel="0" collapsed="false">
      <c r="A47" s="0" t="s">
        <v>35</v>
      </c>
      <c r="B47" s="10" t="s">
        <v>32</v>
      </c>
      <c r="C47" s="9" t="n">
        <v>27438</v>
      </c>
      <c r="D47" s="9" t="n">
        <v>27438</v>
      </c>
      <c r="E47" s="9" t="n">
        <v>27438</v>
      </c>
      <c r="F47" s="9" t="n">
        <v>27438</v>
      </c>
      <c r="G47" s="9" t="n">
        <v>27438</v>
      </c>
      <c r="H47" s="10" t="n">
        <v>0</v>
      </c>
      <c r="I47" s="10" t="n">
        <v>0</v>
      </c>
    </row>
    <row r="48" customFormat="false" ht="22.5" hidden="false" customHeight="true" outlineLevel="0" collapsed="false">
      <c r="A48" s="0" t="s">
        <v>36</v>
      </c>
      <c r="B48" s="10" t="s">
        <v>37</v>
      </c>
      <c r="C48" s="11" t="n">
        <v>0</v>
      </c>
      <c r="D48" s="11" t="n">
        <v>0</v>
      </c>
      <c r="E48" s="11" t="n">
        <v>0</v>
      </c>
      <c r="F48" s="11" t="n">
        <v>0</v>
      </c>
      <c r="G48" s="11" t="n">
        <v>0</v>
      </c>
      <c r="H48" s="10" t="n">
        <v>0</v>
      </c>
      <c r="I48" s="10" t="n">
        <v>0</v>
      </c>
    </row>
    <row r="49" customFormat="false" ht="22.5" hidden="false" customHeight="true" outlineLevel="0" collapsed="false">
      <c r="A49" s="0" t="s">
        <v>38</v>
      </c>
      <c r="B49" s="10" t="s">
        <v>37</v>
      </c>
      <c r="C49" s="11" t="n">
        <v>0.3</v>
      </c>
      <c r="D49" s="11" t="n">
        <v>0.3</v>
      </c>
      <c r="E49" s="11" t="n">
        <v>0.3</v>
      </c>
      <c r="F49" s="11" t="n">
        <v>0.3</v>
      </c>
      <c r="G49" s="11" t="n">
        <v>0.3</v>
      </c>
      <c r="H49" s="10" t="n">
        <v>0</v>
      </c>
      <c r="I49" s="10" t="n">
        <v>0</v>
      </c>
    </row>
    <row r="50" customFormat="false" ht="22.5" hidden="false" customHeight="true" outlineLevel="0" collapsed="false">
      <c r="A50" s="0" t="s">
        <v>39</v>
      </c>
      <c r="B50" s="10" t="s">
        <v>12</v>
      </c>
      <c r="C50" s="9" t="n">
        <v>0</v>
      </c>
      <c r="D50" s="9" t="n">
        <v>0</v>
      </c>
      <c r="E50" s="9" t="n">
        <v>0</v>
      </c>
      <c r="F50" s="9" t="n">
        <v>0</v>
      </c>
      <c r="G50" s="9" t="n">
        <v>0</v>
      </c>
      <c r="H50" s="10" t="n">
        <v>0</v>
      </c>
      <c r="I50" s="10" t="n">
        <v>0</v>
      </c>
    </row>
    <row r="51" customFormat="false" ht="22.5" hidden="false" customHeight="true" outlineLevel="0" collapsed="false">
      <c r="A51" s="0" t="s">
        <v>40</v>
      </c>
      <c r="B51" s="10" t="s">
        <v>12</v>
      </c>
      <c r="C51" s="9" t="n">
        <v>93600000</v>
      </c>
      <c r="D51" s="9" t="n">
        <v>93600000</v>
      </c>
      <c r="E51" s="9" t="n">
        <v>93600000</v>
      </c>
      <c r="F51" s="9" t="n">
        <v>93600000</v>
      </c>
      <c r="G51" s="9" t="n">
        <v>93600000</v>
      </c>
      <c r="H51" s="10" t="n">
        <v>0</v>
      </c>
      <c r="I51" s="10" t="n">
        <v>0</v>
      </c>
    </row>
    <row r="52" customFormat="false" ht="22.5" hidden="false" customHeight="true" outlineLevel="0" collapsed="false">
      <c r="A52" s="0" t="s">
        <v>41</v>
      </c>
      <c r="B52" s="10" t="s">
        <v>12</v>
      </c>
      <c r="C52" s="9" t="n">
        <v>0</v>
      </c>
      <c r="D52" s="9" t="n">
        <v>0</v>
      </c>
      <c r="E52" s="9" t="n">
        <v>0</v>
      </c>
      <c r="F52" s="9" t="n">
        <v>0</v>
      </c>
      <c r="G52" s="9" t="n">
        <v>0</v>
      </c>
      <c r="H52" s="10" t="n">
        <v>0</v>
      </c>
      <c r="I52" s="10" t="n">
        <v>0</v>
      </c>
    </row>
    <row r="53" customFormat="false" ht="22.5" hidden="false" customHeight="true" outlineLevel="0" collapsed="false">
      <c r="A53" s="0" t="s">
        <v>42</v>
      </c>
      <c r="B53" s="10" t="s">
        <v>12</v>
      </c>
      <c r="C53" s="9" t="n">
        <v>0</v>
      </c>
      <c r="D53" s="9" t="n">
        <v>0</v>
      </c>
      <c r="E53" s="9" t="n">
        <v>0</v>
      </c>
      <c r="F53" s="9" t="n">
        <v>0</v>
      </c>
      <c r="G53" s="9" t="n">
        <v>100000000</v>
      </c>
      <c r="H53" s="10" t="n">
        <v>0</v>
      </c>
      <c r="I53" s="10" t="n">
        <v>0</v>
      </c>
    </row>
    <row r="54" customFormat="false" ht="22.5" hidden="false" customHeight="true" outlineLevel="0" collapsed="false">
      <c r="A54" s="0" t="s">
        <v>43</v>
      </c>
      <c r="B54" s="10" t="s">
        <v>12</v>
      </c>
      <c r="C54" s="9" t="n">
        <v>2240000</v>
      </c>
      <c r="D54" s="9" t="n">
        <v>2240000</v>
      </c>
      <c r="E54" s="9" t="n">
        <v>2240000</v>
      </c>
      <c r="F54" s="9" t="n">
        <v>2240000</v>
      </c>
      <c r="G54" s="9" t="n">
        <v>2240000</v>
      </c>
      <c r="H54" s="10" t="n">
        <v>0</v>
      </c>
      <c r="I54" s="10" t="n">
        <v>0</v>
      </c>
    </row>
    <row r="57" customFormat="false" ht="22.5" hidden="false" customHeight="true" outlineLevel="0" collapsed="false">
      <c r="A57" s="2" t="s">
        <v>45</v>
      </c>
      <c r="B57" s="2"/>
      <c r="C57" s="2"/>
      <c r="D57" s="2"/>
      <c r="E57" s="2"/>
      <c r="F57" s="2"/>
      <c r="G57" s="2"/>
      <c r="H57" s="2"/>
      <c r="I57" s="2"/>
    </row>
    <row r="58" customFormat="false" ht="22.5" hidden="false" customHeight="true" outlineLevel="0" collapsed="false">
      <c r="A58" s="0" t="s">
        <v>25</v>
      </c>
      <c r="B58" s="11" t="n">
        <v>0.08</v>
      </c>
    </row>
    <row r="59" customFormat="false" ht="22.5" hidden="false" customHeight="true" outlineLevel="0" collapsed="false">
      <c r="A59" s="0" t="s">
        <v>26</v>
      </c>
      <c r="B59" s="11" t="n">
        <v>0.5</v>
      </c>
    </row>
    <row r="60" customFormat="false" ht="22.5" hidden="false" customHeight="true" outlineLevel="0" collapsed="false">
      <c r="A60" s="0" t="s">
        <v>27</v>
      </c>
      <c r="B60" s="9" t="n">
        <v>0</v>
      </c>
    </row>
    <row r="61" customFormat="false" ht="22.5" hidden="false" customHeight="true" outlineLevel="0" collapsed="false">
      <c r="A61" s="0" t="s">
        <v>28</v>
      </c>
      <c r="B61" s="0" t="n">
        <v>7</v>
      </c>
    </row>
    <row r="62" customFormat="false" ht="22.5" hidden="false" customHeight="true" outlineLevel="0" collapsed="false">
      <c r="C62" s="12" t="n">
        <v>2027</v>
      </c>
      <c r="D62" s="12" t="n">
        <v>2028</v>
      </c>
      <c r="E62" s="12" t="n">
        <v>2029</v>
      </c>
      <c r="F62" s="12" t="n">
        <v>2030</v>
      </c>
      <c r="G62" s="12" t="n">
        <v>2031</v>
      </c>
      <c r="H62" s="12" t="n">
        <v>2032</v>
      </c>
      <c r="I62" s="12" t="n">
        <v>2033</v>
      </c>
    </row>
    <row r="63" customFormat="false" ht="22.5" hidden="false" customHeight="true" outlineLevel="0" collapsed="false">
      <c r="A63" s="0" t="s">
        <v>29</v>
      </c>
      <c r="B63" s="10" t="s">
        <v>30</v>
      </c>
      <c r="C63" s="9" t="n">
        <v>12415.7</v>
      </c>
      <c r="D63" s="9" t="n">
        <v>12415.7</v>
      </c>
      <c r="E63" s="9" t="n">
        <v>12415.7</v>
      </c>
      <c r="F63" s="9" t="n">
        <v>12415.7</v>
      </c>
      <c r="G63" s="9" t="n">
        <v>12415.7</v>
      </c>
      <c r="H63" s="9" t="n">
        <v>12415.7</v>
      </c>
      <c r="I63" s="9" t="n">
        <v>12415.7</v>
      </c>
    </row>
    <row r="64" customFormat="false" ht="22.5" hidden="false" customHeight="true" outlineLevel="0" collapsed="false">
      <c r="A64" s="0" t="s">
        <v>31</v>
      </c>
      <c r="B64" s="10" t="s">
        <v>32</v>
      </c>
      <c r="C64" s="9" t="n">
        <v>76512</v>
      </c>
      <c r="D64" s="9" t="n">
        <v>76512</v>
      </c>
      <c r="E64" s="9" t="n">
        <v>76512</v>
      </c>
      <c r="F64" s="9" t="n">
        <v>76512</v>
      </c>
      <c r="G64" s="9" t="n">
        <v>76512</v>
      </c>
      <c r="H64" s="9" t="n">
        <v>76512</v>
      </c>
      <c r="I64" s="9" t="n">
        <v>76512</v>
      </c>
    </row>
    <row r="65" customFormat="false" ht="22.5" hidden="false" customHeight="true" outlineLevel="0" collapsed="false">
      <c r="A65" s="0" t="s">
        <v>33</v>
      </c>
      <c r="B65" s="10" t="s">
        <v>34</v>
      </c>
      <c r="C65" s="9" t="n">
        <v>1</v>
      </c>
      <c r="D65" s="9" t="n">
        <v>1</v>
      </c>
      <c r="E65" s="9" t="n">
        <v>1</v>
      </c>
      <c r="F65" s="9" t="n">
        <v>1</v>
      </c>
      <c r="G65" s="9" t="n">
        <v>1</v>
      </c>
      <c r="H65" s="9" t="n">
        <v>1</v>
      </c>
      <c r="I65" s="9" t="n">
        <v>1</v>
      </c>
    </row>
    <row r="66" customFormat="false" ht="22.5" hidden="false" customHeight="true" outlineLevel="0" collapsed="false">
      <c r="A66" s="0" t="s">
        <v>35</v>
      </c>
      <c r="B66" s="10" t="s">
        <v>32</v>
      </c>
      <c r="C66" s="9" t="n">
        <v>26066.1</v>
      </c>
      <c r="D66" s="9" t="n">
        <v>26066.1</v>
      </c>
      <c r="E66" s="9" t="n">
        <v>26066.1</v>
      </c>
      <c r="F66" s="9" t="n">
        <v>26066.1</v>
      </c>
      <c r="G66" s="9" t="n">
        <v>26066.1</v>
      </c>
      <c r="H66" s="9" t="n">
        <v>26066.1</v>
      </c>
      <c r="I66" s="9" t="n">
        <v>26066.1</v>
      </c>
    </row>
    <row r="67" customFormat="false" ht="22.5" hidden="false" customHeight="true" outlineLevel="0" collapsed="false">
      <c r="A67" s="0" t="s">
        <v>36</v>
      </c>
      <c r="B67" s="10" t="s">
        <v>37</v>
      </c>
      <c r="C67" s="11" t="n">
        <v>0</v>
      </c>
      <c r="D67" s="11" t="n">
        <v>0</v>
      </c>
      <c r="E67" s="11" t="n">
        <v>0</v>
      </c>
      <c r="F67" s="11" t="n">
        <v>0</v>
      </c>
      <c r="G67" s="11" t="n">
        <v>0</v>
      </c>
      <c r="H67" s="11" t="n">
        <v>0</v>
      </c>
      <c r="I67" s="11" t="n">
        <v>0</v>
      </c>
    </row>
    <row r="68" customFormat="false" ht="22.5" hidden="false" customHeight="true" outlineLevel="0" collapsed="false">
      <c r="A68" s="0" t="s">
        <v>38</v>
      </c>
      <c r="B68" s="10" t="s">
        <v>37</v>
      </c>
      <c r="C68" s="11" t="n">
        <v>0.3</v>
      </c>
      <c r="D68" s="11" t="n">
        <v>0.3</v>
      </c>
      <c r="E68" s="11" t="n">
        <v>0.3</v>
      </c>
      <c r="F68" s="11" t="n">
        <v>0.3</v>
      </c>
      <c r="G68" s="11" t="n">
        <v>0.3</v>
      </c>
      <c r="H68" s="11" t="n">
        <v>0.3</v>
      </c>
      <c r="I68" s="11" t="n">
        <v>0.3</v>
      </c>
    </row>
    <row r="69" customFormat="false" ht="22.5" hidden="false" customHeight="true" outlineLevel="0" collapsed="false">
      <c r="A69" s="0" t="s">
        <v>39</v>
      </c>
      <c r="B69" s="10" t="s">
        <v>12</v>
      </c>
      <c r="C69" s="9" t="n">
        <v>0</v>
      </c>
      <c r="D69" s="9" t="n">
        <v>0</v>
      </c>
      <c r="E69" s="9" t="n">
        <v>0</v>
      </c>
      <c r="F69" s="9" t="n">
        <v>0</v>
      </c>
      <c r="G69" s="9" t="n">
        <v>0</v>
      </c>
      <c r="H69" s="9" t="n">
        <v>0</v>
      </c>
      <c r="I69" s="9" t="n">
        <v>0</v>
      </c>
    </row>
    <row r="70" customFormat="false" ht="22.5" hidden="false" customHeight="true" outlineLevel="0" collapsed="false">
      <c r="A70" s="0" t="s">
        <v>40</v>
      </c>
      <c r="B70" s="10" t="s">
        <v>12</v>
      </c>
      <c r="C70" s="9" t="n">
        <v>93600000</v>
      </c>
      <c r="D70" s="9" t="n">
        <v>93600000</v>
      </c>
      <c r="E70" s="9" t="n">
        <v>93600000</v>
      </c>
      <c r="F70" s="9" t="n">
        <v>93600000</v>
      </c>
      <c r="G70" s="9" t="n">
        <v>93600000</v>
      </c>
      <c r="H70" s="9" t="n">
        <v>93600000</v>
      </c>
      <c r="I70" s="9" t="n">
        <v>93600000</v>
      </c>
    </row>
    <row r="71" customFormat="false" ht="22.5" hidden="false" customHeight="true" outlineLevel="0" collapsed="false">
      <c r="A71" s="0" t="s">
        <v>41</v>
      </c>
      <c r="B71" s="10" t="s">
        <v>12</v>
      </c>
      <c r="C71" s="9" t="n">
        <v>0</v>
      </c>
      <c r="D71" s="9" t="n">
        <v>0</v>
      </c>
      <c r="E71" s="9" t="n">
        <v>0</v>
      </c>
      <c r="F71" s="9" t="n">
        <v>0</v>
      </c>
      <c r="G71" s="9" t="n">
        <v>0</v>
      </c>
      <c r="H71" s="9" t="n">
        <v>0</v>
      </c>
      <c r="I71" s="9" t="n">
        <v>0</v>
      </c>
    </row>
    <row r="72" customFormat="false" ht="22.5" hidden="false" customHeight="true" outlineLevel="0" collapsed="false">
      <c r="A72" s="0" t="s">
        <v>42</v>
      </c>
      <c r="B72" s="10" t="s">
        <v>12</v>
      </c>
      <c r="C72" s="9" t="n">
        <v>0</v>
      </c>
      <c r="D72" s="9" t="n">
        <v>0</v>
      </c>
      <c r="E72" s="9" t="n">
        <v>0</v>
      </c>
      <c r="F72" s="9" t="n">
        <v>0</v>
      </c>
      <c r="G72" s="9" t="n">
        <v>0</v>
      </c>
      <c r="H72" s="9" t="n">
        <v>0</v>
      </c>
      <c r="I72" s="9" t="n">
        <v>100000000</v>
      </c>
    </row>
    <row r="73" customFormat="false" ht="22.5" hidden="false" customHeight="true" outlineLevel="0" collapsed="false">
      <c r="A73" s="0" t="s">
        <v>43</v>
      </c>
      <c r="B73" s="10" t="s">
        <v>12</v>
      </c>
      <c r="C73" s="9" t="n">
        <v>2240000</v>
      </c>
      <c r="D73" s="9" t="n">
        <v>2240000</v>
      </c>
      <c r="E73" s="9" t="n">
        <v>2240000</v>
      </c>
      <c r="F73" s="9" t="n">
        <v>2240000</v>
      </c>
      <c r="G73" s="9" t="n">
        <v>2240000</v>
      </c>
      <c r="H73" s="9" t="n">
        <v>2240000</v>
      </c>
      <c r="I73" s="9" t="n">
        <v>2240000</v>
      </c>
    </row>
  </sheetData>
  <mergeCells count="6">
    <mergeCell ref="A1:I2"/>
    <mergeCell ref="C4:H4"/>
    <mergeCell ref="A15:H16"/>
    <mergeCell ref="A19:I19"/>
    <mergeCell ref="A38:I38"/>
    <mergeCell ref="A57:I57"/>
  </mergeCells>
  <dataValidations count="1">
    <dataValidation allowBlank="true" errorStyle="stop" operator="between" showDropDown="false" showErrorMessage="true" showInputMessage="true" sqref="B4" type="list">
      <formula1>"bear,base,bull"</formula1>
      <formula2>0</formula2>
    </dataValidation>
  </dataValidations>
  <printOptions headings="false" gridLines="false" gridLinesSet="true" horizontalCentered="false" verticalCentered="false"/>
  <pageMargins left="0.3" right="0.3" top="0.4" bottom="0.4" header="0.511811023622047" footer="0.3"/>
  <pageSetup paperSize="9" scale="100" fitToWidth="1" fitToHeight="0" pageOrder="downThenOver" orientation="portrait" blackAndWhite="false" draft="false" cellComments="none" horizontalDpi="300" verticalDpi="300" copies="1"/>
  <headerFooter differentFirst="false" differentOddEven="false">
    <oddHeader/>
    <oddFooter>&amp;Lasx-mlx | Assumptions&amp;RPage &amp;P of &amp;N</oddFooter>
  </headerFooter>
  <rowBreaks count="2" manualBreakCount="2">
    <brk id="37" man="true" max="16383" min="0"/>
    <brk id="56" man="true" max="16383" min="0"/>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7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8.71"/>
    <col collapsed="false" customWidth="true" hidden="false" outlineLevel="0" max="2" min="2" style="0" width="18.71"/>
    <col collapsed="false" customWidth="true" hidden="false" outlineLevel="0" max="5" min="3" style="0" width="17.71"/>
    <col collapsed="false" customWidth="true" hidden="false" outlineLevel="0" max="6" min="6" style="0" width="26.71"/>
    <col collapsed="false" customWidth="true" hidden="false" outlineLevel="0" max="7" min="7" style="0" width="17.71"/>
    <col collapsed="false" customWidth="true" hidden="false" outlineLevel="0" max="8" min="8" style="0" width="24.71"/>
    <col collapsed="false" customWidth="true" hidden="false" outlineLevel="0" max="9" min="9" style="0" width="17.71"/>
  </cols>
  <sheetData>
    <row r="1" customFormat="false" ht="22.5" hidden="false" customHeight="true" outlineLevel="0" collapsed="false">
      <c r="A1" s="1" t="s">
        <v>46</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6" t="s">
        <v>47</v>
      </c>
      <c r="B4" s="6"/>
      <c r="C4" s="6"/>
      <c r="D4" s="6"/>
      <c r="E4" s="6"/>
      <c r="F4" s="6"/>
      <c r="G4" s="6"/>
      <c r="H4" s="6"/>
      <c r="I4" s="6"/>
    </row>
    <row r="6" customFormat="false" ht="22.5" hidden="false" customHeight="true" outlineLevel="0" collapsed="false">
      <c r="A6" s="7" t="s">
        <v>48</v>
      </c>
      <c r="B6" s="7" t="s">
        <v>49</v>
      </c>
      <c r="C6" s="7" t="s">
        <v>50</v>
      </c>
      <c r="D6" s="7" t="s">
        <v>51</v>
      </c>
      <c r="E6" s="7" t="s">
        <v>52</v>
      </c>
      <c r="F6" s="7" t="s">
        <v>53</v>
      </c>
      <c r="G6" s="7" t="s">
        <v>54</v>
      </c>
      <c r="H6" s="7" t="s">
        <v>55</v>
      </c>
      <c r="I6" s="7" t="s">
        <v>56</v>
      </c>
    </row>
    <row r="7" customFormat="false" ht="42" hidden="false" customHeight="true" outlineLevel="0" collapsed="false">
      <c r="A7" s="13" t="s">
        <v>57</v>
      </c>
      <c r="B7" s="13" t="s">
        <v>58</v>
      </c>
      <c r="C7" s="14" t="n">
        <v>293606000</v>
      </c>
      <c r="D7" s="13" t="s">
        <v>12</v>
      </c>
      <c r="E7" s="13" t="s">
        <v>12</v>
      </c>
      <c r="F7" s="13" t="s">
        <v>59</v>
      </c>
      <c r="G7" s="13" t="s">
        <v>60</v>
      </c>
      <c r="H7" s="15" t="s">
        <v>61</v>
      </c>
      <c r="I7" s="13" t="s">
        <v>62</v>
      </c>
    </row>
    <row r="8" customFormat="false" ht="42" hidden="false" customHeight="true" outlineLevel="0" collapsed="false">
      <c r="A8" s="13" t="s">
        <v>63</v>
      </c>
      <c r="B8" s="13" t="s">
        <v>58</v>
      </c>
      <c r="C8" s="14" t="n">
        <v>2849000</v>
      </c>
      <c r="D8" s="13" t="s">
        <v>12</v>
      </c>
      <c r="E8" s="13" t="s">
        <v>12</v>
      </c>
      <c r="F8" s="13" t="s">
        <v>59</v>
      </c>
      <c r="G8" s="13" t="s">
        <v>60</v>
      </c>
      <c r="H8" s="15" t="s">
        <v>61</v>
      </c>
      <c r="I8" s="13" t="s">
        <v>62</v>
      </c>
    </row>
    <row r="9" customFormat="false" ht="42" hidden="false" customHeight="true" outlineLevel="0" collapsed="false">
      <c r="A9" s="13" t="s">
        <v>64</v>
      </c>
      <c r="B9" s="13" t="s">
        <v>58</v>
      </c>
      <c r="C9" s="14" t="n">
        <v>436000</v>
      </c>
      <c r="D9" s="13" t="s">
        <v>12</v>
      </c>
      <c r="E9" s="13" t="s">
        <v>12</v>
      </c>
      <c r="F9" s="13" t="s">
        <v>59</v>
      </c>
      <c r="G9" s="13" t="s">
        <v>60</v>
      </c>
      <c r="H9" s="15" t="s">
        <v>61</v>
      </c>
      <c r="I9" s="13" t="s">
        <v>62</v>
      </c>
    </row>
    <row r="10" customFormat="false" ht="42" hidden="false" customHeight="true" outlineLevel="0" collapsed="false">
      <c r="A10" s="13" t="s">
        <v>65</v>
      </c>
      <c r="B10" s="13" t="s">
        <v>58</v>
      </c>
      <c r="C10" s="14" t="n">
        <v>886391538</v>
      </c>
      <c r="D10" s="13" t="s">
        <v>16</v>
      </c>
      <c r="E10" s="13"/>
      <c r="F10" s="13" t="s">
        <v>59</v>
      </c>
      <c r="G10" s="13" t="s">
        <v>60</v>
      </c>
      <c r="H10" s="15" t="s">
        <v>61</v>
      </c>
      <c r="I10" s="13" t="s">
        <v>66</v>
      </c>
    </row>
    <row r="11" customFormat="false" ht="42" hidden="false" customHeight="true" outlineLevel="0" collapsed="false">
      <c r="A11" s="13" t="s">
        <v>67</v>
      </c>
      <c r="B11" s="13" t="s">
        <v>58</v>
      </c>
      <c r="C11" s="14" t="n">
        <v>33035000</v>
      </c>
      <c r="D11" s="13" t="s">
        <v>12</v>
      </c>
      <c r="E11" s="13" t="s">
        <v>12</v>
      </c>
      <c r="F11" s="13" t="s">
        <v>59</v>
      </c>
      <c r="G11" s="13" t="s">
        <v>60</v>
      </c>
      <c r="H11" s="15" t="s">
        <v>61</v>
      </c>
      <c r="I11" s="13" t="s">
        <v>68</v>
      </c>
    </row>
    <row r="12" customFormat="false" ht="42" hidden="false" customHeight="true" outlineLevel="0" collapsed="false">
      <c r="A12" s="13" t="s">
        <v>69</v>
      </c>
      <c r="B12" s="13" t="s">
        <v>70</v>
      </c>
      <c r="C12" s="14" t="n">
        <v>128323000</v>
      </c>
      <c r="D12" s="13" t="s">
        <v>12</v>
      </c>
      <c r="E12" s="13" t="s">
        <v>12</v>
      </c>
      <c r="F12" s="13" t="s">
        <v>59</v>
      </c>
      <c r="G12" s="13" t="s">
        <v>60</v>
      </c>
      <c r="H12" s="15" t="s">
        <v>61</v>
      </c>
      <c r="I12" s="13" t="s">
        <v>71</v>
      </c>
    </row>
    <row r="13" customFormat="false" ht="42" hidden="false" customHeight="true" outlineLevel="0" collapsed="false">
      <c r="A13" s="13" t="s">
        <v>72</v>
      </c>
      <c r="B13" s="13" t="s">
        <v>70</v>
      </c>
      <c r="C13" s="14" t="n">
        <v>13747000</v>
      </c>
      <c r="D13" s="13" t="s">
        <v>12</v>
      </c>
      <c r="E13" s="13" t="s">
        <v>12</v>
      </c>
      <c r="F13" s="13" t="s">
        <v>59</v>
      </c>
      <c r="G13" s="13" t="s">
        <v>60</v>
      </c>
      <c r="H13" s="15" t="s">
        <v>61</v>
      </c>
      <c r="I13" s="13" t="s">
        <v>71</v>
      </c>
    </row>
    <row r="14" customFormat="false" ht="42" hidden="false" customHeight="true" outlineLevel="0" collapsed="false">
      <c r="A14" s="13" t="s">
        <v>73</v>
      </c>
      <c r="B14" s="13" t="s">
        <v>70</v>
      </c>
      <c r="C14" s="14" t="n">
        <v>22211000</v>
      </c>
      <c r="D14" s="13" t="s">
        <v>12</v>
      </c>
      <c r="E14" s="13" t="s">
        <v>12</v>
      </c>
      <c r="F14" s="13" t="s">
        <v>59</v>
      </c>
      <c r="G14" s="13" t="s">
        <v>60</v>
      </c>
      <c r="H14" s="15" t="s">
        <v>61</v>
      </c>
      <c r="I14" s="13" t="s">
        <v>71</v>
      </c>
    </row>
    <row r="15" customFormat="false" ht="42" hidden="false" customHeight="true" outlineLevel="0" collapsed="false">
      <c r="A15" s="13" t="s">
        <v>74</v>
      </c>
      <c r="B15" s="13" t="s">
        <v>70</v>
      </c>
      <c r="C15" s="14" t="n">
        <v>10748</v>
      </c>
      <c r="D15" s="13" t="s">
        <v>75</v>
      </c>
      <c r="E15" s="13"/>
      <c r="F15" s="13" t="s">
        <v>76</v>
      </c>
      <c r="G15" s="13" t="s">
        <v>60</v>
      </c>
      <c r="H15" s="15" t="s">
        <v>61</v>
      </c>
      <c r="I15" s="13" t="s">
        <v>77</v>
      </c>
    </row>
    <row r="16" customFormat="false" ht="42" hidden="false" customHeight="true" outlineLevel="0" collapsed="false">
      <c r="A16" s="13" t="s">
        <v>78</v>
      </c>
      <c r="B16" s="13" t="s">
        <v>79</v>
      </c>
      <c r="C16" s="14" t="n">
        <v>0.5</v>
      </c>
      <c r="D16" s="13" t="s">
        <v>37</v>
      </c>
      <c r="E16" s="13"/>
      <c r="F16" s="13" t="s">
        <v>76</v>
      </c>
      <c r="G16" s="13" t="s">
        <v>80</v>
      </c>
      <c r="H16" s="15" t="s">
        <v>61</v>
      </c>
      <c r="I16" s="13" t="s">
        <v>81</v>
      </c>
    </row>
    <row r="17" customFormat="false" ht="42" hidden="false" customHeight="true" outlineLevel="0" collapsed="false">
      <c r="A17" s="13" t="s">
        <v>74</v>
      </c>
      <c r="B17" s="13" t="s">
        <v>79</v>
      </c>
      <c r="C17" s="14" t="n">
        <v>2809</v>
      </c>
      <c r="D17" s="13" t="s">
        <v>75</v>
      </c>
      <c r="E17" s="13"/>
      <c r="F17" s="13" t="s">
        <v>76</v>
      </c>
      <c r="G17" s="13" t="s">
        <v>80</v>
      </c>
      <c r="H17" s="15" t="s">
        <v>61</v>
      </c>
      <c r="I17" s="13" t="s">
        <v>81</v>
      </c>
    </row>
    <row r="18" customFormat="false" ht="42" hidden="false" customHeight="true" outlineLevel="0" collapsed="false">
      <c r="A18" s="13" t="s">
        <v>74</v>
      </c>
      <c r="B18" s="13" t="s">
        <v>82</v>
      </c>
      <c r="C18" s="14" t="n">
        <v>11287</v>
      </c>
      <c r="D18" s="13" t="s">
        <v>75</v>
      </c>
      <c r="E18" s="13"/>
      <c r="F18" s="13" t="s">
        <v>76</v>
      </c>
      <c r="G18" s="13" t="s">
        <v>80</v>
      </c>
      <c r="H18" s="15" t="s">
        <v>61</v>
      </c>
      <c r="I18" s="13" t="s">
        <v>81</v>
      </c>
    </row>
    <row r="19" customFormat="false" ht="42" hidden="false" customHeight="true" outlineLevel="0" collapsed="false">
      <c r="A19" s="13" t="s">
        <v>83</v>
      </c>
      <c r="B19" s="13" t="s">
        <v>79</v>
      </c>
      <c r="C19" s="14" t="n">
        <v>73834</v>
      </c>
      <c r="D19" s="13" t="s">
        <v>84</v>
      </c>
      <c r="E19" s="13" t="s">
        <v>12</v>
      </c>
      <c r="F19" s="13" t="s">
        <v>76</v>
      </c>
      <c r="G19" s="13" t="s">
        <v>80</v>
      </c>
      <c r="H19" s="15" t="s">
        <v>61</v>
      </c>
      <c r="I19" s="13" t="s">
        <v>81</v>
      </c>
    </row>
    <row r="20" customFormat="false" ht="42" hidden="false" customHeight="true" outlineLevel="0" collapsed="false">
      <c r="A20" s="13" t="s">
        <v>83</v>
      </c>
      <c r="B20" s="13" t="s">
        <v>82</v>
      </c>
      <c r="C20" s="14" t="n">
        <v>63760</v>
      </c>
      <c r="D20" s="13" t="s">
        <v>84</v>
      </c>
      <c r="E20" s="13" t="s">
        <v>12</v>
      </c>
      <c r="F20" s="13" t="s">
        <v>76</v>
      </c>
      <c r="G20" s="13" t="s">
        <v>80</v>
      </c>
      <c r="H20" s="15" t="s">
        <v>61</v>
      </c>
      <c r="I20" s="13" t="s">
        <v>81</v>
      </c>
    </row>
    <row r="21" customFormat="false" ht="42" hidden="false" customHeight="true" outlineLevel="0" collapsed="false">
      <c r="A21" s="13" t="s">
        <v>85</v>
      </c>
      <c r="B21" s="13" t="s">
        <v>79</v>
      </c>
      <c r="C21" s="14" t="n">
        <v>20251</v>
      </c>
      <c r="D21" s="13" t="s">
        <v>84</v>
      </c>
      <c r="E21" s="13" t="s">
        <v>12</v>
      </c>
      <c r="F21" s="13" t="s">
        <v>76</v>
      </c>
      <c r="G21" s="13" t="s">
        <v>80</v>
      </c>
      <c r="H21" s="15" t="s">
        <v>61</v>
      </c>
      <c r="I21" s="13" t="s">
        <v>81</v>
      </c>
    </row>
    <row r="22" customFormat="false" ht="42" hidden="false" customHeight="true" outlineLevel="0" collapsed="false">
      <c r="A22" s="13" t="s">
        <v>85</v>
      </c>
      <c r="B22" s="13" t="s">
        <v>82</v>
      </c>
      <c r="C22" s="14" t="n">
        <v>19349</v>
      </c>
      <c r="D22" s="13" t="s">
        <v>84</v>
      </c>
      <c r="E22" s="13" t="s">
        <v>12</v>
      </c>
      <c r="F22" s="13" t="s">
        <v>76</v>
      </c>
      <c r="G22" s="13" t="s">
        <v>80</v>
      </c>
      <c r="H22" s="15" t="s">
        <v>61</v>
      </c>
      <c r="I22" s="13" t="s">
        <v>81</v>
      </c>
    </row>
    <row r="23" customFormat="false" ht="42" hidden="false" customHeight="true" outlineLevel="0" collapsed="false">
      <c r="A23" s="13" t="s">
        <v>86</v>
      </c>
      <c r="B23" s="13" t="s">
        <v>79</v>
      </c>
      <c r="C23" s="14" t="n">
        <v>8758</v>
      </c>
      <c r="D23" s="13" t="s">
        <v>84</v>
      </c>
      <c r="E23" s="13" t="s">
        <v>12</v>
      </c>
      <c r="F23" s="13" t="s">
        <v>76</v>
      </c>
      <c r="G23" s="13" t="s">
        <v>80</v>
      </c>
      <c r="H23" s="15" t="s">
        <v>61</v>
      </c>
      <c r="I23" s="13" t="s">
        <v>81</v>
      </c>
    </row>
    <row r="24" customFormat="false" ht="42" hidden="false" customHeight="true" outlineLevel="0" collapsed="false">
      <c r="A24" s="13" t="s">
        <v>87</v>
      </c>
      <c r="B24" s="13" t="s">
        <v>79</v>
      </c>
      <c r="C24" s="14" t="n">
        <v>34865</v>
      </c>
      <c r="D24" s="13" t="s">
        <v>84</v>
      </c>
      <c r="E24" s="13" t="s">
        <v>12</v>
      </c>
      <c r="F24" s="13" t="s">
        <v>76</v>
      </c>
      <c r="G24" s="13" t="s">
        <v>80</v>
      </c>
      <c r="H24" s="15" t="s">
        <v>61</v>
      </c>
      <c r="I24" s="13" t="s">
        <v>81</v>
      </c>
    </row>
    <row r="25" customFormat="false" ht="42" hidden="false" customHeight="true" outlineLevel="0" collapsed="false">
      <c r="A25" s="13" t="s">
        <v>88</v>
      </c>
      <c r="B25" s="13" t="s">
        <v>79</v>
      </c>
      <c r="C25" s="14" t="n">
        <v>23400000</v>
      </c>
      <c r="D25" s="13" t="s">
        <v>12</v>
      </c>
      <c r="E25" s="13" t="s">
        <v>12</v>
      </c>
      <c r="F25" s="13" t="s">
        <v>76</v>
      </c>
      <c r="G25" s="13" t="s">
        <v>80</v>
      </c>
      <c r="H25" s="15" t="s">
        <v>61</v>
      </c>
      <c r="I25" s="13" t="s">
        <v>89</v>
      </c>
    </row>
    <row r="26" customFormat="false" ht="42" hidden="false" customHeight="true" outlineLevel="0" collapsed="false">
      <c r="A26" s="13" t="s">
        <v>90</v>
      </c>
      <c r="B26" s="13" t="s">
        <v>79</v>
      </c>
      <c r="C26" s="14" t="n">
        <v>16450000</v>
      </c>
      <c r="D26" s="13" t="s">
        <v>12</v>
      </c>
      <c r="E26" s="13" t="s">
        <v>12</v>
      </c>
      <c r="F26" s="13" t="s">
        <v>76</v>
      </c>
      <c r="G26" s="13" t="s">
        <v>80</v>
      </c>
      <c r="H26" s="15" t="s">
        <v>61</v>
      </c>
      <c r="I26" s="13" t="s">
        <v>89</v>
      </c>
    </row>
    <row r="27" customFormat="false" ht="42" hidden="false" customHeight="true" outlineLevel="0" collapsed="false">
      <c r="A27" s="13" t="s">
        <v>91</v>
      </c>
      <c r="B27" s="13" t="s">
        <v>79</v>
      </c>
      <c r="C27" s="14" t="n">
        <v>6950000</v>
      </c>
      <c r="D27" s="13" t="s">
        <v>12</v>
      </c>
      <c r="E27" s="13" t="s">
        <v>12</v>
      </c>
      <c r="F27" s="13" t="s">
        <v>76</v>
      </c>
      <c r="G27" s="13" t="s">
        <v>80</v>
      </c>
      <c r="H27" s="15" t="s">
        <v>61</v>
      </c>
      <c r="I27" s="13" t="s">
        <v>89</v>
      </c>
    </row>
    <row r="28" customFormat="false" ht="42" hidden="false" customHeight="true" outlineLevel="0" collapsed="false">
      <c r="A28" s="13" t="s">
        <v>57</v>
      </c>
      <c r="B28" s="13" t="s">
        <v>92</v>
      </c>
      <c r="C28" s="14" t="n">
        <v>374000000</v>
      </c>
      <c r="D28" s="13" t="s">
        <v>12</v>
      </c>
      <c r="E28" s="13" t="s">
        <v>12</v>
      </c>
      <c r="F28" s="13" t="s">
        <v>59</v>
      </c>
      <c r="G28" s="13" t="s">
        <v>80</v>
      </c>
      <c r="H28" s="15" t="s">
        <v>61</v>
      </c>
      <c r="I28" s="13" t="s">
        <v>77</v>
      </c>
    </row>
    <row r="29" customFormat="false" ht="42" hidden="false" customHeight="true" outlineLevel="0" collapsed="false">
      <c r="A29" s="13" t="s">
        <v>93</v>
      </c>
      <c r="B29" s="13" t="s">
        <v>79</v>
      </c>
      <c r="C29" s="14" t="n">
        <v>560000</v>
      </c>
      <c r="D29" s="13" t="s">
        <v>12</v>
      </c>
      <c r="E29" s="13" t="s">
        <v>12</v>
      </c>
      <c r="F29" s="13" t="s">
        <v>59</v>
      </c>
      <c r="G29" s="13" t="s">
        <v>80</v>
      </c>
      <c r="H29" s="15" t="s">
        <v>61</v>
      </c>
      <c r="I29" s="13" t="s">
        <v>94</v>
      </c>
    </row>
    <row r="30" customFormat="false" ht="42" hidden="false" customHeight="true" outlineLevel="0" collapsed="false">
      <c r="A30" s="13" t="s">
        <v>95</v>
      </c>
      <c r="B30" s="13" t="s">
        <v>70</v>
      </c>
      <c r="C30" s="14" t="n">
        <v>284999000</v>
      </c>
      <c r="D30" s="13" t="s">
        <v>12</v>
      </c>
      <c r="E30" s="13" t="s">
        <v>12</v>
      </c>
      <c r="F30" s="13" t="s">
        <v>59</v>
      </c>
      <c r="G30" s="13" t="s">
        <v>60</v>
      </c>
      <c r="H30" s="15" t="s">
        <v>61</v>
      </c>
      <c r="I30" s="13" t="s">
        <v>96</v>
      </c>
    </row>
    <row r="31" customFormat="false" ht="42" hidden="false" customHeight="true" outlineLevel="0" collapsed="false">
      <c r="A31" s="13" t="s">
        <v>95</v>
      </c>
      <c r="B31" s="13" t="s">
        <v>97</v>
      </c>
      <c r="C31" s="14" t="n">
        <v>218820000</v>
      </c>
      <c r="D31" s="13" t="s">
        <v>12</v>
      </c>
      <c r="E31" s="13" t="s">
        <v>12</v>
      </c>
      <c r="F31" s="13" t="s">
        <v>59</v>
      </c>
      <c r="G31" s="13" t="s">
        <v>60</v>
      </c>
      <c r="H31" s="15" t="s">
        <v>61</v>
      </c>
      <c r="I31" s="13" t="s">
        <v>96</v>
      </c>
    </row>
    <row r="32" customFormat="false" ht="42" hidden="false" customHeight="true" outlineLevel="0" collapsed="false">
      <c r="A32" s="13" t="s">
        <v>98</v>
      </c>
      <c r="B32" s="13" t="s">
        <v>70</v>
      </c>
      <c r="C32" s="14" t="n">
        <v>158275000</v>
      </c>
      <c r="D32" s="13" t="s">
        <v>12</v>
      </c>
      <c r="E32" s="13" t="s">
        <v>12</v>
      </c>
      <c r="F32" s="13" t="s">
        <v>59</v>
      </c>
      <c r="G32" s="13" t="s">
        <v>60</v>
      </c>
      <c r="H32" s="15" t="s">
        <v>61</v>
      </c>
      <c r="I32" s="13" t="s">
        <v>96</v>
      </c>
    </row>
    <row r="33" customFormat="false" ht="42" hidden="false" customHeight="true" outlineLevel="0" collapsed="false">
      <c r="A33" s="13" t="s">
        <v>98</v>
      </c>
      <c r="B33" s="13" t="s">
        <v>97</v>
      </c>
      <c r="C33" s="14" t="n">
        <v>123558000</v>
      </c>
      <c r="D33" s="13" t="s">
        <v>12</v>
      </c>
      <c r="E33" s="13" t="s">
        <v>12</v>
      </c>
      <c r="F33" s="13" t="s">
        <v>59</v>
      </c>
      <c r="G33" s="13" t="s">
        <v>60</v>
      </c>
      <c r="H33" s="15" t="s">
        <v>61</v>
      </c>
      <c r="I33" s="13" t="s">
        <v>96</v>
      </c>
    </row>
    <row r="34" customFormat="false" ht="42" hidden="false" customHeight="true" outlineLevel="0" collapsed="false">
      <c r="A34" s="13" t="s">
        <v>99</v>
      </c>
      <c r="B34" s="13" t="s">
        <v>70</v>
      </c>
      <c r="C34" s="14" t="n">
        <v>126724000</v>
      </c>
      <c r="D34" s="13" t="s">
        <v>12</v>
      </c>
      <c r="E34" s="13" t="s">
        <v>12</v>
      </c>
      <c r="F34" s="13" t="s">
        <v>59</v>
      </c>
      <c r="G34" s="13" t="s">
        <v>60</v>
      </c>
      <c r="H34" s="15" t="s">
        <v>61</v>
      </c>
      <c r="I34" s="13" t="s">
        <v>96</v>
      </c>
    </row>
    <row r="35" customFormat="false" ht="42" hidden="false" customHeight="true" outlineLevel="0" collapsed="false">
      <c r="A35" s="13" t="s">
        <v>99</v>
      </c>
      <c r="B35" s="13" t="s">
        <v>97</v>
      </c>
      <c r="C35" s="14" t="n">
        <v>95262000</v>
      </c>
      <c r="D35" s="13" t="s">
        <v>12</v>
      </c>
      <c r="E35" s="13" t="s">
        <v>12</v>
      </c>
      <c r="F35" s="13" t="s">
        <v>59</v>
      </c>
      <c r="G35" s="13" t="s">
        <v>60</v>
      </c>
      <c r="H35" s="15" t="s">
        <v>61</v>
      </c>
      <c r="I35" s="13" t="s">
        <v>96</v>
      </c>
    </row>
    <row r="36" customFormat="false" ht="42" hidden="false" customHeight="true" outlineLevel="0" collapsed="false">
      <c r="A36" s="13" t="s">
        <v>100</v>
      </c>
      <c r="B36" s="13" t="s">
        <v>70</v>
      </c>
      <c r="C36" s="14" t="n">
        <v>4212000</v>
      </c>
      <c r="D36" s="13" t="s">
        <v>12</v>
      </c>
      <c r="E36" s="13" t="s">
        <v>12</v>
      </c>
      <c r="F36" s="13" t="s">
        <v>59</v>
      </c>
      <c r="G36" s="13" t="s">
        <v>60</v>
      </c>
      <c r="H36" s="15" t="s">
        <v>61</v>
      </c>
      <c r="I36" s="13" t="s">
        <v>96</v>
      </c>
    </row>
    <row r="37" customFormat="false" ht="42" hidden="false" customHeight="true" outlineLevel="0" collapsed="false">
      <c r="A37" s="13" t="s">
        <v>100</v>
      </c>
      <c r="B37" s="13" t="s">
        <v>97</v>
      </c>
      <c r="C37" s="14" t="n">
        <v>2744000</v>
      </c>
      <c r="D37" s="13" t="s">
        <v>12</v>
      </c>
      <c r="E37" s="13" t="s">
        <v>12</v>
      </c>
      <c r="F37" s="13" t="s">
        <v>59</v>
      </c>
      <c r="G37" s="13" t="s">
        <v>60</v>
      </c>
      <c r="H37" s="15" t="s">
        <v>61</v>
      </c>
      <c r="I37" s="13" t="s">
        <v>96</v>
      </c>
    </row>
    <row r="38" customFormat="false" ht="42" hidden="false" customHeight="true" outlineLevel="0" collapsed="false">
      <c r="A38" s="13" t="s">
        <v>101</v>
      </c>
      <c r="B38" s="13" t="s">
        <v>70</v>
      </c>
      <c r="C38" s="14" t="n">
        <v>980000</v>
      </c>
      <c r="D38" s="13" t="s">
        <v>12</v>
      </c>
      <c r="E38" s="13" t="s">
        <v>12</v>
      </c>
      <c r="F38" s="13" t="s">
        <v>59</v>
      </c>
      <c r="G38" s="13" t="s">
        <v>60</v>
      </c>
      <c r="H38" s="15" t="s">
        <v>61</v>
      </c>
      <c r="I38" s="13" t="s">
        <v>96</v>
      </c>
    </row>
    <row r="39" customFormat="false" ht="42" hidden="false" customHeight="true" outlineLevel="0" collapsed="false">
      <c r="A39" s="13" t="s">
        <v>101</v>
      </c>
      <c r="B39" s="13" t="s">
        <v>97</v>
      </c>
      <c r="C39" s="14" t="n">
        <v>566000</v>
      </c>
      <c r="D39" s="13" t="s">
        <v>12</v>
      </c>
      <c r="E39" s="13" t="s">
        <v>12</v>
      </c>
      <c r="F39" s="13" t="s">
        <v>59</v>
      </c>
      <c r="G39" s="13" t="s">
        <v>60</v>
      </c>
      <c r="H39" s="15" t="s">
        <v>61</v>
      </c>
      <c r="I39" s="13" t="s">
        <v>96</v>
      </c>
    </row>
    <row r="40" customFormat="false" ht="42" hidden="false" customHeight="true" outlineLevel="0" collapsed="false">
      <c r="A40" s="13" t="s">
        <v>102</v>
      </c>
      <c r="B40" s="13" t="s">
        <v>70</v>
      </c>
      <c r="C40" s="14" t="n">
        <v>138275000</v>
      </c>
      <c r="D40" s="13" t="s">
        <v>12</v>
      </c>
      <c r="E40" s="13" t="s">
        <v>12</v>
      </c>
      <c r="F40" s="13" t="s">
        <v>59</v>
      </c>
      <c r="G40" s="13" t="s">
        <v>60</v>
      </c>
      <c r="H40" s="15" t="s">
        <v>61</v>
      </c>
      <c r="I40" s="13" t="s">
        <v>96</v>
      </c>
    </row>
    <row r="41" customFormat="false" ht="42" hidden="false" customHeight="true" outlineLevel="0" collapsed="false">
      <c r="A41" s="13" t="s">
        <v>102</v>
      </c>
      <c r="B41" s="13" t="s">
        <v>97</v>
      </c>
      <c r="C41" s="14" t="n">
        <v>120227000</v>
      </c>
      <c r="D41" s="13" t="s">
        <v>12</v>
      </c>
      <c r="E41" s="13" t="s">
        <v>12</v>
      </c>
      <c r="F41" s="13" t="s">
        <v>59</v>
      </c>
      <c r="G41" s="13" t="s">
        <v>60</v>
      </c>
      <c r="H41" s="15" t="s">
        <v>61</v>
      </c>
      <c r="I41" s="13" t="s">
        <v>96</v>
      </c>
    </row>
    <row r="42" customFormat="false" ht="42" hidden="false" customHeight="true" outlineLevel="0" collapsed="false">
      <c r="A42" s="13" t="s">
        <v>103</v>
      </c>
      <c r="B42" s="13" t="s">
        <v>70</v>
      </c>
      <c r="C42" s="14" t="n">
        <v>33670000</v>
      </c>
      <c r="D42" s="13" t="s">
        <v>12</v>
      </c>
      <c r="E42" s="13" t="s">
        <v>12</v>
      </c>
      <c r="F42" s="13" t="s">
        <v>59</v>
      </c>
      <c r="G42" s="13" t="s">
        <v>60</v>
      </c>
      <c r="H42" s="15" t="s">
        <v>61</v>
      </c>
      <c r="I42" s="13" t="s">
        <v>96</v>
      </c>
    </row>
    <row r="43" customFormat="false" ht="42" hidden="false" customHeight="true" outlineLevel="0" collapsed="false">
      <c r="A43" s="13" t="s">
        <v>103</v>
      </c>
      <c r="B43" s="13" t="s">
        <v>97</v>
      </c>
      <c r="C43" s="14" t="n">
        <v>17878000</v>
      </c>
      <c r="D43" s="13" t="s">
        <v>12</v>
      </c>
      <c r="E43" s="13" t="s">
        <v>12</v>
      </c>
      <c r="F43" s="13" t="s">
        <v>59</v>
      </c>
      <c r="G43" s="13" t="s">
        <v>60</v>
      </c>
      <c r="H43" s="15" t="s">
        <v>61</v>
      </c>
      <c r="I43" s="13" t="s">
        <v>96</v>
      </c>
    </row>
    <row r="44" customFormat="false" ht="42" hidden="false" customHeight="true" outlineLevel="0" collapsed="false">
      <c r="A44" s="13" t="s">
        <v>104</v>
      </c>
      <c r="B44" s="13" t="s">
        <v>70</v>
      </c>
      <c r="C44" s="14" t="n">
        <v>104605000</v>
      </c>
      <c r="D44" s="13" t="s">
        <v>12</v>
      </c>
      <c r="E44" s="13" t="s">
        <v>12</v>
      </c>
      <c r="F44" s="13" t="s">
        <v>59</v>
      </c>
      <c r="G44" s="13" t="s">
        <v>60</v>
      </c>
      <c r="H44" s="15" t="s">
        <v>61</v>
      </c>
      <c r="I44" s="13" t="s">
        <v>96</v>
      </c>
    </row>
    <row r="45" customFormat="false" ht="42" hidden="false" customHeight="true" outlineLevel="0" collapsed="false">
      <c r="A45" s="13" t="s">
        <v>104</v>
      </c>
      <c r="B45" s="13" t="s">
        <v>97</v>
      </c>
      <c r="C45" s="14" t="n">
        <v>102349000</v>
      </c>
      <c r="D45" s="13" t="s">
        <v>12</v>
      </c>
      <c r="E45" s="13" t="s">
        <v>12</v>
      </c>
      <c r="F45" s="13" t="s">
        <v>59</v>
      </c>
      <c r="G45" s="13" t="s">
        <v>60</v>
      </c>
      <c r="H45" s="15" t="s">
        <v>61</v>
      </c>
      <c r="I45" s="13" t="s">
        <v>96</v>
      </c>
    </row>
    <row r="46" customFormat="false" ht="42" hidden="false" customHeight="true" outlineLevel="0" collapsed="false">
      <c r="A46" s="13" t="s">
        <v>57</v>
      </c>
      <c r="B46" s="13" t="s">
        <v>105</v>
      </c>
      <c r="C46" s="14" t="n">
        <v>220644000</v>
      </c>
      <c r="D46" s="13" t="s">
        <v>12</v>
      </c>
      <c r="E46" s="13" t="s">
        <v>12</v>
      </c>
      <c r="F46" s="13" t="s">
        <v>59</v>
      </c>
      <c r="G46" s="13" t="s">
        <v>60</v>
      </c>
      <c r="H46" s="15" t="s">
        <v>61</v>
      </c>
      <c r="I46" s="13" t="s">
        <v>62</v>
      </c>
    </row>
    <row r="47" customFormat="false" ht="42" hidden="false" customHeight="true" outlineLevel="0" collapsed="false">
      <c r="A47" s="13" t="s">
        <v>106</v>
      </c>
      <c r="B47" s="13" t="s">
        <v>58</v>
      </c>
      <c r="C47" s="14" t="n">
        <v>36473000</v>
      </c>
      <c r="D47" s="13" t="s">
        <v>12</v>
      </c>
      <c r="E47" s="13" t="s">
        <v>12</v>
      </c>
      <c r="F47" s="13" t="s">
        <v>59</v>
      </c>
      <c r="G47" s="13" t="s">
        <v>60</v>
      </c>
      <c r="H47" s="15" t="s">
        <v>61</v>
      </c>
      <c r="I47" s="13" t="s">
        <v>62</v>
      </c>
    </row>
    <row r="48" customFormat="false" ht="42" hidden="false" customHeight="true" outlineLevel="0" collapsed="false">
      <c r="A48" s="13" t="s">
        <v>106</v>
      </c>
      <c r="B48" s="13" t="s">
        <v>105</v>
      </c>
      <c r="C48" s="14" t="n">
        <v>8666000</v>
      </c>
      <c r="D48" s="13" t="s">
        <v>12</v>
      </c>
      <c r="E48" s="13" t="s">
        <v>12</v>
      </c>
      <c r="F48" s="13" t="s">
        <v>59</v>
      </c>
      <c r="G48" s="13" t="s">
        <v>60</v>
      </c>
      <c r="H48" s="15" t="s">
        <v>61</v>
      </c>
      <c r="I48" s="13" t="s">
        <v>62</v>
      </c>
    </row>
    <row r="49" customFormat="false" ht="42" hidden="false" customHeight="true" outlineLevel="0" collapsed="false">
      <c r="A49" s="13" t="s">
        <v>107</v>
      </c>
      <c r="B49" s="13" t="s">
        <v>58</v>
      </c>
      <c r="C49" s="14" t="n">
        <v>29488000</v>
      </c>
      <c r="D49" s="13" t="s">
        <v>12</v>
      </c>
      <c r="E49" s="13" t="s">
        <v>12</v>
      </c>
      <c r="F49" s="13" t="s">
        <v>59</v>
      </c>
      <c r="G49" s="13" t="s">
        <v>60</v>
      </c>
      <c r="H49" s="15" t="s">
        <v>61</v>
      </c>
      <c r="I49" s="13" t="s">
        <v>62</v>
      </c>
    </row>
    <row r="50" customFormat="false" ht="42" hidden="false" customHeight="true" outlineLevel="0" collapsed="false">
      <c r="A50" s="13" t="s">
        <v>107</v>
      </c>
      <c r="B50" s="13" t="s">
        <v>105</v>
      </c>
      <c r="C50" s="14" t="n">
        <v>37573000</v>
      </c>
      <c r="D50" s="13" t="s">
        <v>12</v>
      </c>
      <c r="E50" s="13" t="s">
        <v>12</v>
      </c>
      <c r="F50" s="13" t="s">
        <v>59</v>
      </c>
      <c r="G50" s="13" t="s">
        <v>60</v>
      </c>
      <c r="H50" s="15" t="s">
        <v>61</v>
      </c>
      <c r="I50" s="13" t="s">
        <v>62</v>
      </c>
    </row>
    <row r="51" customFormat="false" ht="42" hidden="false" customHeight="true" outlineLevel="0" collapsed="false">
      <c r="A51" s="13" t="s">
        <v>108</v>
      </c>
      <c r="B51" s="13" t="s">
        <v>58</v>
      </c>
      <c r="C51" s="14" t="n">
        <v>363459000</v>
      </c>
      <c r="D51" s="13" t="s">
        <v>12</v>
      </c>
      <c r="E51" s="13" t="s">
        <v>12</v>
      </c>
      <c r="F51" s="13" t="s">
        <v>59</v>
      </c>
      <c r="G51" s="13" t="s">
        <v>60</v>
      </c>
      <c r="H51" s="15" t="s">
        <v>61</v>
      </c>
      <c r="I51" s="13" t="s">
        <v>62</v>
      </c>
    </row>
    <row r="52" customFormat="false" ht="42" hidden="false" customHeight="true" outlineLevel="0" collapsed="false">
      <c r="A52" s="13" t="s">
        <v>108</v>
      </c>
      <c r="B52" s="13" t="s">
        <v>105</v>
      </c>
      <c r="C52" s="14" t="n">
        <v>271243000</v>
      </c>
      <c r="D52" s="13" t="s">
        <v>12</v>
      </c>
      <c r="E52" s="13" t="s">
        <v>12</v>
      </c>
      <c r="F52" s="13" t="s">
        <v>59</v>
      </c>
      <c r="G52" s="13" t="s">
        <v>60</v>
      </c>
      <c r="H52" s="15" t="s">
        <v>61</v>
      </c>
      <c r="I52" s="13" t="s">
        <v>62</v>
      </c>
    </row>
    <row r="53" customFormat="false" ht="42" hidden="false" customHeight="true" outlineLevel="0" collapsed="false">
      <c r="A53" s="13" t="s">
        <v>109</v>
      </c>
      <c r="B53" s="13" t="s">
        <v>58</v>
      </c>
      <c r="C53" s="14" t="n">
        <v>255050000</v>
      </c>
      <c r="D53" s="13" t="s">
        <v>12</v>
      </c>
      <c r="E53" s="13" t="s">
        <v>12</v>
      </c>
      <c r="F53" s="13" t="s">
        <v>59</v>
      </c>
      <c r="G53" s="13" t="s">
        <v>60</v>
      </c>
      <c r="H53" s="15" t="s">
        <v>61</v>
      </c>
      <c r="I53" s="13" t="s">
        <v>62</v>
      </c>
    </row>
    <row r="54" customFormat="false" ht="42" hidden="false" customHeight="true" outlineLevel="0" collapsed="false">
      <c r="A54" s="13" t="s">
        <v>109</v>
      </c>
      <c r="B54" s="13" t="s">
        <v>105</v>
      </c>
      <c r="C54" s="14" t="n">
        <v>233789000</v>
      </c>
      <c r="D54" s="13" t="s">
        <v>12</v>
      </c>
      <c r="E54" s="13" t="s">
        <v>12</v>
      </c>
      <c r="F54" s="13" t="s">
        <v>59</v>
      </c>
      <c r="G54" s="13" t="s">
        <v>60</v>
      </c>
      <c r="H54" s="15" t="s">
        <v>61</v>
      </c>
      <c r="I54" s="13" t="s">
        <v>62</v>
      </c>
    </row>
    <row r="55" customFormat="false" ht="42" hidden="false" customHeight="true" outlineLevel="0" collapsed="false">
      <c r="A55" s="13" t="s">
        <v>110</v>
      </c>
      <c r="B55" s="13" t="s">
        <v>58</v>
      </c>
      <c r="C55" s="14" t="n">
        <v>618509000</v>
      </c>
      <c r="D55" s="13" t="s">
        <v>12</v>
      </c>
      <c r="E55" s="13" t="s">
        <v>12</v>
      </c>
      <c r="F55" s="13" t="s">
        <v>59</v>
      </c>
      <c r="G55" s="13" t="s">
        <v>60</v>
      </c>
      <c r="H55" s="15" t="s">
        <v>61</v>
      </c>
      <c r="I55" s="13" t="s">
        <v>62</v>
      </c>
    </row>
    <row r="56" customFormat="false" ht="42" hidden="false" customHeight="true" outlineLevel="0" collapsed="false">
      <c r="A56" s="13" t="s">
        <v>110</v>
      </c>
      <c r="B56" s="13" t="s">
        <v>105</v>
      </c>
      <c r="C56" s="14" t="n">
        <v>505032000</v>
      </c>
      <c r="D56" s="13" t="s">
        <v>12</v>
      </c>
      <c r="E56" s="13" t="s">
        <v>12</v>
      </c>
      <c r="F56" s="13" t="s">
        <v>59</v>
      </c>
      <c r="G56" s="13" t="s">
        <v>60</v>
      </c>
      <c r="H56" s="15" t="s">
        <v>61</v>
      </c>
      <c r="I56" s="13" t="s">
        <v>62</v>
      </c>
    </row>
    <row r="57" customFormat="false" ht="42" hidden="false" customHeight="true" outlineLevel="0" collapsed="false">
      <c r="A57" s="13" t="s">
        <v>111</v>
      </c>
      <c r="B57" s="13" t="s">
        <v>58</v>
      </c>
      <c r="C57" s="14" t="n">
        <v>17091000</v>
      </c>
      <c r="D57" s="13" t="s">
        <v>12</v>
      </c>
      <c r="E57" s="13" t="s">
        <v>12</v>
      </c>
      <c r="F57" s="13" t="s">
        <v>59</v>
      </c>
      <c r="G57" s="13" t="s">
        <v>60</v>
      </c>
      <c r="H57" s="15" t="s">
        <v>61</v>
      </c>
      <c r="I57" s="13" t="s">
        <v>62</v>
      </c>
    </row>
    <row r="58" customFormat="false" ht="42" hidden="false" customHeight="true" outlineLevel="0" collapsed="false">
      <c r="A58" s="13" t="s">
        <v>111</v>
      </c>
      <c r="B58" s="13" t="s">
        <v>105</v>
      </c>
      <c r="C58" s="14" t="n">
        <v>20972000</v>
      </c>
      <c r="D58" s="13" t="s">
        <v>12</v>
      </c>
      <c r="E58" s="13" t="s">
        <v>12</v>
      </c>
      <c r="F58" s="13" t="s">
        <v>59</v>
      </c>
      <c r="G58" s="13" t="s">
        <v>60</v>
      </c>
      <c r="H58" s="15" t="s">
        <v>61</v>
      </c>
      <c r="I58" s="13" t="s">
        <v>62</v>
      </c>
    </row>
    <row r="59" customFormat="false" ht="42" hidden="false" customHeight="true" outlineLevel="0" collapsed="false">
      <c r="A59" s="13" t="s">
        <v>63</v>
      </c>
      <c r="B59" s="13" t="s">
        <v>105</v>
      </c>
      <c r="C59" s="14" t="n">
        <v>3645000</v>
      </c>
      <c r="D59" s="13" t="s">
        <v>12</v>
      </c>
      <c r="E59" s="13" t="s">
        <v>12</v>
      </c>
      <c r="F59" s="13" t="s">
        <v>59</v>
      </c>
      <c r="G59" s="13" t="s">
        <v>60</v>
      </c>
      <c r="H59" s="15" t="s">
        <v>61</v>
      </c>
      <c r="I59" s="13" t="s">
        <v>62</v>
      </c>
    </row>
    <row r="60" customFormat="false" ht="42" hidden="false" customHeight="true" outlineLevel="0" collapsed="false">
      <c r="A60" s="13" t="s">
        <v>64</v>
      </c>
      <c r="B60" s="13" t="s">
        <v>105</v>
      </c>
      <c r="C60" s="14" t="n">
        <v>2508000</v>
      </c>
      <c r="D60" s="13" t="s">
        <v>12</v>
      </c>
      <c r="E60" s="13" t="s">
        <v>12</v>
      </c>
      <c r="F60" s="13" t="s">
        <v>59</v>
      </c>
      <c r="G60" s="13" t="s">
        <v>60</v>
      </c>
      <c r="H60" s="15" t="s">
        <v>61</v>
      </c>
      <c r="I60" s="13" t="s">
        <v>62</v>
      </c>
    </row>
    <row r="61" customFormat="false" ht="42" hidden="false" customHeight="true" outlineLevel="0" collapsed="false">
      <c r="A61" s="13" t="s">
        <v>112</v>
      </c>
      <c r="B61" s="13" t="s">
        <v>58</v>
      </c>
      <c r="C61" s="14" t="n">
        <v>51679000</v>
      </c>
      <c r="D61" s="13" t="s">
        <v>12</v>
      </c>
      <c r="E61" s="13" t="s">
        <v>12</v>
      </c>
      <c r="F61" s="13" t="s">
        <v>59</v>
      </c>
      <c r="G61" s="13" t="s">
        <v>60</v>
      </c>
      <c r="H61" s="15" t="s">
        <v>61</v>
      </c>
      <c r="I61" s="13" t="s">
        <v>62</v>
      </c>
    </row>
    <row r="62" customFormat="false" ht="42" hidden="false" customHeight="true" outlineLevel="0" collapsed="false">
      <c r="A62" s="13" t="s">
        <v>112</v>
      </c>
      <c r="B62" s="13" t="s">
        <v>105</v>
      </c>
      <c r="C62" s="14" t="n">
        <v>43857000</v>
      </c>
      <c r="D62" s="13" t="s">
        <v>12</v>
      </c>
      <c r="E62" s="13" t="s">
        <v>12</v>
      </c>
      <c r="F62" s="13" t="s">
        <v>59</v>
      </c>
      <c r="G62" s="13" t="s">
        <v>60</v>
      </c>
      <c r="H62" s="15" t="s">
        <v>61</v>
      </c>
      <c r="I62" s="13" t="s">
        <v>62</v>
      </c>
    </row>
    <row r="63" customFormat="false" ht="42" hidden="false" customHeight="true" outlineLevel="0" collapsed="false">
      <c r="A63" s="13" t="s">
        <v>113</v>
      </c>
      <c r="B63" s="13" t="s">
        <v>58</v>
      </c>
      <c r="C63" s="14" t="n">
        <v>34297000</v>
      </c>
      <c r="D63" s="13" t="s">
        <v>12</v>
      </c>
      <c r="E63" s="13" t="s">
        <v>12</v>
      </c>
      <c r="F63" s="13" t="s">
        <v>59</v>
      </c>
      <c r="G63" s="13" t="s">
        <v>60</v>
      </c>
      <c r="H63" s="15" t="s">
        <v>61</v>
      </c>
      <c r="I63" s="13" t="s">
        <v>62</v>
      </c>
    </row>
    <row r="64" customFormat="false" ht="42" hidden="false" customHeight="true" outlineLevel="0" collapsed="false">
      <c r="A64" s="13" t="s">
        <v>113</v>
      </c>
      <c r="B64" s="13" t="s">
        <v>105</v>
      </c>
      <c r="C64" s="14" t="n">
        <v>33401000</v>
      </c>
      <c r="D64" s="13" t="s">
        <v>12</v>
      </c>
      <c r="E64" s="13" t="s">
        <v>12</v>
      </c>
      <c r="F64" s="13" t="s">
        <v>59</v>
      </c>
      <c r="G64" s="13" t="s">
        <v>60</v>
      </c>
      <c r="H64" s="15" t="s">
        <v>61</v>
      </c>
      <c r="I64" s="13" t="s">
        <v>62</v>
      </c>
    </row>
    <row r="65" customFormat="false" ht="42" hidden="false" customHeight="true" outlineLevel="0" collapsed="false">
      <c r="A65" s="13" t="s">
        <v>114</v>
      </c>
      <c r="B65" s="13" t="s">
        <v>58</v>
      </c>
      <c r="C65" s="14" t="n">
        <v>85976000</v>
      </c>
      <c r="D65" s="13" t="s">
        <v>12</v>
      </c>
      <c r="E65" s="13" t="s">
        <v>12</v>
      </c>
      <c r="F65" s="13" t="s">
        <v>59</v>
      </c>
      <c r="G65" s="13" t="s">
        <v>60</v>
      </c>
      <c r="H65" s="15" t="s">
        <v>61</v>
      </c>
      <c r="I65" s="13" t="s">
        <v>62</v>
      </c>
    </row>
    <row r="66" customFormat="false" ht="42" hidden="false" customHeight="true" outlineLevel="0" collapsed="false">
      <c r="A66" s="13" t="s">
        <v>114</v>
      </c>
      <c r="B66" s="13" t="s">
        <v>105</v>
      </c>
      <c r="C66" s="14" t="n">
        <v>77258000</v>
      </c>
      <c r="D66" s="13" t="s">
        <v>12</v>
      </c>
      <c r="E66" s="13" t="s">
        <v>12</v>
      </c>
      <c r="F66" s="13" t="s">
        <v>59</v>
      </c>
      <c r="G66" s="13" t="s">
        <v>60</v>
      </c>
      <c r="H66" s="15" t="s">
        <v>61</v>
      </c>
      <c r="I66" s="13" t="s">
        <v>62</v>
      </c>
    </row>
    <row r="67" customFormat="false" ht="42" hidden="false" customHeight="true" outlineLevel="0" collapsed="false">
      <c r="A67" s="13" t="s">
        <v>115</v>
      </c>
      <c r="B67" s="13" t="s">
        <v>58</v>
      </c>
      <c r="C67" s="14" t="n">
        <v>532533000</v>
      </c>
      <c r="D67" s="13" t="s">
        <v>12</v>
      </c>
      <c r="E67" s="13" t="s">
        <v>12</v>
      </c>
      <c r="F67" s="13" t="s">
        <v>59</v>
      </c>
      <c r="G67" s="13" t="s">
        <v>60</v>
      </c>
      <c r="H67" s="15" t="s">
        <v>61</v>
      </c>
      <c r="I67" s="13" t="s">
        <v>62</v>
      </c>
    </row>
    <row r="68" customFormat="false" ht="42" hidden="false" customHeight="true" outlineLevel="0" collapsed="false">
      <c r="A68" s="13" t="s">
        <v>115</v>
      </c>
      <c r="B68" s="13" t="s">
        <v>105</v>
      </c>
      <c r="C68" s="14" t="n">
        <v>427774000</v>
      </c>
      <c r="D68" s="13" t="s">
        <v>12</v>
      </c>
      <c r="E68" s="13" t="s">
        <v>12</v>
      </c>
      <c r="F68" s="13" t="s">
        <v>59</v>
      </c>
      <c r="G68" s="13" t="s">
        <v>60</v>
      </c>
      <c r="H68" s="15" t="s">
        <v>61</v>
      </c>
      <c r="I68" s="13" t="s">
        <v>62</v>
      </c>
    </row>
    <row r="69" customFormat="false" ht="42" hidden="false" customHeight="true" outlineLevel="0" collapsed="false">
      <c r="A69" s="13" t="s">
        <v>69</v>
      </c>
      <c r="B69" s="13" t="s">
        <v>97</v>
      </c>
      <c r="C69" s="14" t="n">
        <v>143567000</v>
      </c>
      <c r="D69" s="13" t="s">
        <v>12</v>
      </c>
      <c r="E69" s="13" t="s">
        <v>12</v>
      </c>
      <c r="F69" s="13" t="s">
        <v>59</v>
      </c>
      <c r="G69" s="13" t="s">
        <v>60</v>
      </c>
      <c r="H69" s="15" t="s">
        <v>61</v>
      </c>
      <c r="I69" s="13" t="s">
        <v>71</v>
      </c>
    </row>
    <row r="70" customFormat="false" ht="42" hidden="false" customHeight="true" outlineLevel="0" collapsed="false">
      <c r="A70" s="13" t="s">
        <v>72</v>
      </c>
      <c r="B70" s="13" t="s">
        <v>97</v>
      </c>
      <c r="C70" s="14" t="n">
        <v>17425000</v>
      </c>
      <c r="D70" s="13" t="s">
        <v>12</v>
      </c>
      <c r="E70" s="13" t="s">
        <v>12</v>
      </c>
      <c r="F70" s="13" t="s">
        <v>59</v>
      </c>
      <c r="G70" s="13" t="s">
        <v>60</v>
      </c>
      <c r="H70" s="15" t="s">
        <v>61</v>
      </c>
      <c r="I70" s="13" t="s">
        <v>71</v>
      </c>
    </row>
    <row r="71" customFormat="false" ht="42" hidden="false" customHeight="true" outlineLevel="0" collapsed="false">
      <c r="A71" s="13" t="s">
        <v>73</v>
      </c>
      <c r="B71" s="13" t="s">
        <v>97</v>
      </c>
      <c r="C71" s="14" t="n">
        <v>22511000</v>
      </c>
      <c r="D71" s="13" t="s">
        <v>12</v>
      </c>
      <c r="E71" s="13" t="s">
        <v>12</v>
      </c>
      <c r="F71" s="13" t="s">
        <v>59</v>
      </c>
      <c r="G71" s="13" t="s">
        <v>60</v>
      </c>
      <c r="H71" s="15" t="s">
        <v>61</v>
      </c>
      <c r="I71" s="13" t="s">
        <v>71</v>
      </c>
    </row>
    <row r="72" customFormat="false" ht="42" hidden="false" customHeight="true" outlineLevel="0" collapsed="false">
      <c r="A72" s="13" t="s">
        <v>116</v>
      </c>
      <c r="B72" s="13" t="s">
        <v>70</v>
      </c>
      <c r="C72" s="14" t="n">
        <v>-52493000</v>
      </c>
      <c r="D72" s="13" t="s">
        <v>12</v>
      </c>
      <c r="E72" s="13" t="s">
        <v>12</v>
      </c>
      <c r="F72" s="13" t="s">
        <v>59</v>
      </c>
      <c r="G72" s="13" t="s">
        <v>60</v>
      </c>
      <c r="H72" s="15" t="s">
        <v>61</v>
      </c>
      <c r="I72" s="13" t="s">
        <v>71</v>
      </c>
    </row>
    <row r="73" customFormat="false" ht="42" hidden="false" customHeight="true" outlineLevel="0" collapsed="false">
      <c r="A73" s="13" t="s">
        <v>116</v>
      </c>
      <c r="B73" s="13" t="s">
        <v>97</v>
      </c>
      <c r="C73" s="14" t="n">
        <v>-55453000</v>
      </c>
      <c r="D73" s="13" t="s">
        <v>12</v>
      </c>
      <c r="E73" s="13" t="s">
        <v>12</v>
      </c>
      <c r="F73" s="13" t="s">
        <v>59</v>
      </c>
      <c r="G73" s="13" t="s">
        <v>60</v>
      </c>
      <c r="H73" s="15" t="s">
        <v>61</v>
      </c>
      <c r="I73" s="13" t="s">
        <v>71</v>
      </c>
    </row>
    <row r="74" customFormat="false" ht="42" hidden="false" customHeight="true" outlineLevel="0" collapsed="false">
      <c r="A74" s="13" t="s">
        <v>117</v>
      </c>
      <c r="B74" s="13" t="s">
        <v>70</v>
      </c>
      <c r="C74" s="14" t="n">
        <v>-2868000</v>
      </c>
      <c r="D74" s="13" t="s">
        <v>12</v>
      </c>
      <c r="E74" s="13" t="s">
        <v>12</v>
      </c>
      <c r="F74" s="13" t="s">
        <v>59</v>
      </c>
      <c r="G74" s="13" t="s">
        <v>60</v>
      </c>
      <c r="H74" s="15" t="s">
        <v>61</v>
      </c>
      <c r="I74" s="13" t="s">
        <v>71</v>
      </c>
    </row>
    <row r="75" customFormat="false" ht="42" hidden="false" customHeight="true" outlineLevel="0" collapsed="false">
      <c r="A75" s="13" t="s">
        <v>117</v>
      </c>
      <c r="B75" s="13" t="s">
        <v>97</v>
      </c>
      <c r="C75" s="14" t="n">
        <v>-10512000</v>
      </c>
      <c r="D75" s="13" t="s">
        <v>12</v>
      </c>
      <c r="E75" s="13" t="s">
        <v>12</v>
      </c>
      <c r="F75" s="13" t="s">
        <v>59</v>
      </c>
      <c r="G75" s="13" t="s">
        <v>60</v>
      </c>
      <c r="H75" s="15" t="s">
        <v>61</v>
      </c>
      <c r="I75" s="13" t="s">
        <v>71</v>
      </c>
    </row>
    <row r="76" customFormat="false" ht="42" hidden="false" customHeight="true" outlineLevel="0" collapsed="false">
      <c r="A76" s="13" t="s">
        <v>118</v>
      </c>
      <c r="B76" s="13" t="s">
        <v>70</v>
      </c>
      <c r="C76" s="14" t="n">
        <v>72962000</v>
      </c>
      <c r="D76" s="13" t="s">
        <v>12</v>
      </c>
      <c r="E76" s="13" t="s">
        <v>12</v>
      </c>
      <c r="F76" s="13" t="s">
        <v>59</v>
      </c>
      <c r="G76" s="13" t="s">
        <v>60</v>
      </c>
      <c r="H76" s="15" t="s">
        <v>61</v>
      </c>
      <c r="I76" s="13" t="s">
        <v>71</v>
      </c>
    </row>
    <row r="77" customFormat="false" ht="42" hidden="false" customHeight="true" outlineLevel="0" collapsed="false">
      <c r="A77" s="13" t="s">
        <v>118</v>
      </c>
      <c r="B77" s="13" t="s">
        <v>97</v>
      </c>
      <c r="C77" s="14" t="n">
        <v>77602000</v>
      </c>
      <c r="D77" s="13" t="s">
        <v>12</v>
      </c>
      <c r="E77" s="13" t="s">
        <v>12</v>
      </c>
      <c r="F77" s="13" t="s">
        <v>59</v>
      </c>
      <c r="G77" s="13" t="s">
        <v>60</v>
      </c>
      <c r="H77" s="15" t="s">
        <v>61</v>
      </c>
      <c r="I77" s="13" t="s">
        <v>71</v>
      </c>
    </row>
    <row r="78" customFormat="false" ht="42" hidden="false" customHeight="true" outlineLevel="0" collapsed="false">
      <c r="A78" s="13" t="s">
        <v>119</v>
      </c>
      <c r="B78" s="13" t="s">
        <v>70</v>
      </c>
      <c r="C78" s="14" t="n">
        <v>220644000</v>
      </c>
      <c r="D78" s="13" t="s">
        <v>12</v>
      </c>
      <c r="E78" s="13" t="s">
        <v>12</v>
      </c>
      <c r="F78" s="13" t="s">
        <v>59</v>
      </c>
      <c r="G78" s="13" t="s">
        <v>60</v>
      </c>
      <c r="H78" s="15" t="s">
        <v>61</v>
      </c>
      <c r="I78" s="13" t="s">
        <v>71</v>
      </c>
    </row>
    <row r="79" customFormat="false" ht="42" hidden="false" customHeight="true" outlineLevel="0" collapsed="false">
      <c r="A79" s="13" t="s">
        <v>119</v>
      </c>
      <c r="B79" s="13" t="s">
        <v>97</v>
      </c>
      <c r="C79" s="14" t="n">
        <v>143042000</v>
      </c>
      <c r="D79" s="13" t="s">
        <v>12</v>
      </c>
      <c r="E79" s="13" t="s">
        <v>12</v>
      </c>
      <c r="F79" s="13" t="s">
        <v>59</v>
      </c>
      <c r="G79" s="13" t="s">
        <v>60</v>
      </c>
      <c r="H79" s="15" t="s">
        <v>61</v>
      </c>
      <c r="I79" s="13" t="s">
        <v>71</v>
      </c>
    </row>
  </sheetData>
  <autoFilter ref="A6:I79"/>
  <mergeCells count="2">
    <mergeCell ref="A1:I2"/>
    <mergeCell ref="A4:I4"/>
  </mergeCells>
  <hyperlinks>
    <hyperlink ref="H7" r:id="rId1" location="page=25" display="Open source report"/>
    <hyperlink ref="H8" r:id="rId2" location="page=25" display="Open source report"/>
    <hyperlink ref="H9" r:id="rId3" location="page=25" display="Open source report"/>
    <hyperlink ref="H10" r:id="rId4" location="page=62" display="Open source report"/>
    <hyperlink ref="H11" r:id="rId5" location="page=60" display="Open source report"/>
    <hyperlink ref="H12" r:id="rId6" location="page=26" display="Open source report"/>
    <hyperlink ref="H13" r:id="rId7" location="page=26" display="Open source report"/>
    <hyperlink ref="H14" r:id="rId8" location="page=26" display="Open source report"/>
    <hyperlink ref="H15" r:id="rId9" location="page=9" display="Open source report"/>
    <hyperlink ref="H16" r:id="rId10" location="page=2" display="Open source report"/>
    <hyperlink ref="H17" r:id="rId11" location="page=2" display="Open source report"/>
    <hyperlink ref="H18" r:id="rId12" location="page=2" display="Open source report"/>
    <hyperlink ref="H19" r:id="rId13" location="page=2" display="Open source report"/>
    <hyperlink ref="H20" r:id="rId14" location="page=2" display="Open source report"/>
    <hyperlink ref="H21" r:id="rId15" location="page=2" display="Open source report"/>
    <hyperlink ref="H22" r:id="rId16" location="page=2" display="Open source report"/>
    <hyperlink ref="H23" r:id="rId17" location="page=2" display="Open source report"/>
    <hyperlink ref="H24" r:id="rId18" location="page=2" display="Open source report"/>
    <hyperlink ref="H25" r:id="rId19" location="page=3" display="Open source report"/>
    <hyperlink ref="H26" r:id="rId20" location="page=3" display="Open source report"/>
    <hyperlink ref="H27" r:id="rId21" location="page=3" display="Open source report"/>
    <hyperlink ref="H28" r:id="rId22" location="page=9" display="Open source report"/>
    <hyperlink ref="H29" r:id="rId23" location="page=8" display="Open source report"/>
    <hyperlink ref="H30" r:id="rId24" location="page=24" display="Open source report"/>
    <hyperlink ref="H31" r:id="rId25" location="page=24" display="Open source report"/>
    <hyperlink ref="H32" r:id="rId26" location="page=24" display="Open source report"/>
    <hyperlink ref="H33" r:id="rId27" location="page=24" display="Open source report"/>
    <hyperlink ref="H34" r:id="rId28" location="page=24" display="Open source report"/>
    <hyperlink ref="H35" r:id="rId29" location="page=24" display="Open source report"/>
    <hyperlink ref="H36" r:id="rId30" location="page=24" display="Open source report"/>
    <hyperlink ref="H37" r:id="rId31" location="page=24" display="Open source report"/>
    <hyperlink ref="H38" r:id="rId32" location="page=24" display="Open source report"/>
    <hyperlink ref="H39" r:id="rId33" location="page=24" display="Open source report"/>
    <hyperlink ref="H40" r:id="rId34" location="page=24" display="Open source report"/>
    <hyperlink ref="H41" r:id="rId35" location="page=24" display="Open source report"/>
    <hyperlink ref="H42" r:id="rId36" location="page=24" display="Open source report"/>
    <hyperlink ref="H43" r:id="rId37" location="page=24" display="Open source report"/>
    <hyperlink ref="H44" r:id="rId38" location="page=24" display="Open source report"/>
    <hyperlink ref="H45" r:id="rId39" location="page=24" display="Open source report"/>
    <hyperlink ref="H46" r:id="rId40" location="page=25" display="Open source report"/>
    <hyperlink ref="H47" r:id="rId41" location="page=25" display="Open source report"/>
    <hyperlink ref="H48" r:id="rId42" location="page=25" display="Open source report"/>
    <hyperlink ref="H49" r:id="rId43" location="page=25" display="Open source report"/>
    <hyperlink ref="H50" r:id="rId44" location="page=25" display="Open source report"/>
    <hyperlink ref="H51" r:id="rId45" location="page=25" display="Open source report"/>
    <hyperlink ref="H52" r:id="rId46" location="page=25" display="Open source report"/>
    <hyperlink ref="H53" r:id="rId47" location="page=25" display="Open source report"/>
    <hyperlink ref="H54" r:id="rId48" location="page=25" display="Open source report"/>
    <hyperlink ref="H55" r:id="rId49" location="page=25" display="Open source report"/>
    <hyperlink ref="H56" r:id="rId50" location="page=25" display="Open source report"/>
    <hyperlink ref="H57" r:id="rId51" location="page=25" display="Open source report"/>
    <hyperlink ref="H58" r:id="rId52" location="page=25" display="Open source report"/>
    <hyperlink ref="H59" r:id="rId53" location="page=25" display="Open source report"/>
    <hyperlink ref="H60" r:id="rId54" location="page=25" display="Open source report"/>
    <hyperlink ref="H61" r:id="rId55" location="page=25" display="Open source report"/>
    <hyperlink ref="H62" r:id="rId56" location="page=25" display="Open source report"/>
    <hyperlink ref="H63" r:id="rId57" location="page=25" display="Open source report"/>
    <hyperlink ref="H64" r:id="rId58" location="page=25" display="Open source report"/>
    <hyperlink ref="H65" r:id="rId59" location="page=25" display="Open source report"/>
    <hyperlink ref="H66" r:id="rId60" location="page=25" display="Open source report"/>
    <hyperlink ref="H67" r:id="rId61" location="page=25" display="Open source report"/>
    <hyperlink ref="H68" r:id="rId62" location="page=25" display="Open source report"/>
    <hyperlink ref="H69" r:id="rId63" location="page=26" display="Open source report"/>
    <hyperlink ref="H70" r:id="rId64" location="page=26" display="Open source report"/>
    <hyperlink ref="H71" r:id="rId65" location="page=26" display="Open source report"/>
    <hyperlink ref="H72" r:id="rId66" location="page=26" display="Open source report"/>
    <hyperlink ref="H73" r:id="rId67" location="page=26" display="Open source report"/>
    <hyperlink ref="H74" r:id="rId68" location="page=26" display="Open source report"/>
    <hyperlink ref="H75" r:id="rId69" location="page=26" display="Open source report"/>
    <hyperlink ref="H76" r:id="rId70" location="page=26" display="Open source report"/>
    <hyperlink ref="H77" r:id="rId71" location="page=26" display="Open source report"/>
    <hyperlink ref="H78" r:id="rId72" location="page=26" display="Open source report"/>
    <hyperlink ref="H79" r:id="rId73" location="page=26" display="Open source report"/>
  </hyperlinks>
  <printOptions headings="false" gridLines="false" gridLinesSet="true" horizontalCentered="false" verticalCentered="false"/>
  <pageMargins left="0.3" right="0.3" top="0.4" bottom="0.4"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&amp;Lasx-mlx | Historical&amp;RPage &amp;P of &amp;N</oddFooter>
  </headerFooter>
  <drawing r:id="rId7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3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120</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0" t="s">
        <v>25</v>
      </c>
      <c r="B4" s="16" t="n">
        <f aca="false">IF(Assumptions!$B$4="bear",Assumptions!$B$20,IF(Assumptions!$B$4="base",Assumptions!$B$39,Assumptions!$B$58))</f>
        <v>0.1</v>
      </c>
    </row>
    <row r="5" customFormat="false" ht="22.5" hidden="false" customHeight="true" outlineLevel="0" collapsed="false">
      <c r="A5" s="0" t="s">
        <v>26</v>
      </c>
      <c r="B5" s="16" t="n">
        <f aca="false">IF(Assumptions!$B$4="bear",Assumptions!$B$21,IF(Assumptions!$B$4="base",Assumptions!$B$40,Assumptions!$B$59))</f>
        <v>0.5</v>
      </c>
    </row>
    <row r="6" customFormat="false" ht="22.5" hidden="false" customHeight="true" outlineLevel="0" collapsed="false">
      <c r="A6" s="0" t="s">
        <v>27</v>
      </c>
      <c r="B6" s="17" t="n">
        <f aca="false">IF(Assumptions!$B$4="bear",Assumptions!$B$22,IF(Assumptions!$B$4="base",Assumptions!$B$41,Assumptions!$B$60))</f>
        <v>0</v>
      </c>
    </row>
    <row r="7" customFormat="false" ht="22.5" hidden="false" customHeight="true" outlineLevel="0" collapsed="false">
      <c r="A7" s="0" t="s">
        <v>121</v>
      </c>
      <c r="B7" s="17" t="n">
        <f aca="false">IF(Assumptions!$B$4="bear",Assumptions!$B$23,IF(Assumptions!$B$4="base",Assumptions!$B$42,Assumptions!$B$61))</f>
        <v>5</v>
      </c>
    </row>
    <row r="8" customFormat="false" ht="22.5" hidden="false" customHeight="true" outlineLevel="0" collapsed="false">
      <c r="A8" s="0" t="s">
        <v>122</v>
      </c>
      <c r="B8" s="17" t="str">
        <f aca="false">IF(Assumptions!$B$4="bear","imputed_production",IF(Assumptions!$B$4="base","imputed_production","imputed_production"))</f>
        <v>imputed_production</v>
      </c>
    </row>
    <row r="9" customFormat="false" ht="22.5" hidden="false" customHeight="true" outlineLevel="0" collapsed="false">
      <c r="A9" s="7" t="s">
        <v>123</v>
      </c>
      <c r="C9" s="12" t="n">
        <f aca="false">YEAR(DATEVALUE(Assumptions!$B$12))+1</f>
        <v>2027</v>
      </c>
      <c r="D9" s="12" t="n">
        <f aca="false">YEAR(DATEVALUE(Assumptions!$B$12))+2</f>
        <v>2028</v>
      </c>
      <c r="E9" s="12" t="n">
        <f aca="false">YEAR(DATEVALUE(Assumptions!$B$12))+3</f>
        <v>2029</v>
      </c>
      <c r="F9" s="12" t="n">
        <f aca="false">YEAR(DATEVALUE(Assumptions!$B$12))+4</f>
        <v>2030</v>
      </c>
      <c r="G9" s="12" t="n">
        <f aca="false">YEAR(DATEVALUE(Assumptions!$B$12))+5</f>
        <v>2031</v>
      </c>
      <c r="H9" s="12" t="n">
        <f aca="false">YEAR(DATEVALUE(Assumptions!$B$12))+6</f>
        <v>2032</v>
      </c>
      <c r="I9" s="12" t="n">
        <f aca="false">YEAR(DATEVALUE(Assumptions!$B$12))+7</f>
        <v>2033</v>
      </c>
    </row>
    <row r="10" customFormat="false" ht="22.5" hidden="false" customHeight="true" outlineLevel="0" collapsed="false">
      <c r="A10" s="0" t="s">
        <v>124</v>
      </c>
      <c r="B10" s="10" t="s">
        <v>30</v>
      </c>
      <c r="C10" s="17" t="n">
        <f aca="false">IF(Assumptions!$B$4="bear",Assumptions!$C$25,IF(Assumptions!$B$4="base",Assumptions!$C$44,Assumptions!$C$63))</f>
        <v>11287</v>
      </c>
      <c r="D10" s="17" t="n">
        <f aca="false">IF(Assumptions!$B$4="bear",Assumptions!$D$25,IF(Assumptions!$B$4="base",Assumptions!$D$44,Assumptions!$D$63))</f>
        <v>11287</v>
      </c>
      <c r="E10" s="17" t="n">
        <f aca="false">IF(Assumptions!$B$4="bear",Assumptions!$E$25,IF(Assumptions!$B$4="base",Assumptions!$E$44,Assumptions!$E$63))</f>
        <v>11287</v>
      </c>
      <c r="F10" s="17" t="n">
        <f aca="false">IF(Assumptions!$B$4="bear",Assumptions!$F$25,IF(Assumptions!$B$4="base",Assumptions!$F$44,Assumptions!$F$63))</f>
        <v>11287</v>
      </c>
      <c r="G10" s="17" t="n">
        <f aca="false">IF(Assumptions!$B$4="bear",Assumptions!$G$25,IF(Assumptions!$B$4="base",Assumptions!$G$44,Assumptions!$G$63))</f>
        <v>11287</v>
      </c>
      <c r="H10" s="17" t="n">
        <f aca="false">IF(Assumptions!$B$4="bear",Assumptions!$H$25,IF(Assumptions!$B$4="base",Assumptions!$H$44,Assumptions!$H$63))</f>
        <v>0</v>
      </c>
      <c r="I10" s="17" t="n">
        <f aca="false">IF(Assumptions!$B$4="bear",Assumptions!$I$25,IF(Assumptions!$B$4="base",Assumptions!$I$44,Assumptions!$I$63))</f>
        <v>0</v>
      </c>
    </row>
    <row r="11" customFormat="false" ht="22.5" hidden="false" customHeight="true" outlineLevel="0" collapsed="false">
      <c r="A11" s="0" t="s">
        <v>31</v>
      </c>
      <c r="B11" s="10" t="s">
        <v>125</v>
      </c>
      <c r="C11" s="17" t="n">
        <f aca="false">IF(Assumptions!$B$4="bear",Assumptions!$C$26,IF(Assumptions!$B$4="base",Assumptions!$C$45,Assumptions!$C$64))</f>
        <v>63760</v>
      </c>
      <c r="D11" s="17" t="n">
        <f aca="false">IF(Assumptions!$B$4="bear",Assumptions!$D$26,IF(Assumptions!$B$4="base",Assumptions!$D$45,Assumptions!$D$64))</f>
        <v>63760</v>
      </c>
      <c r="E11" s="17" t="n">
        <f aca="false">IF(Assumptions!$B$4="bear",Assumptions!$E$26,IF(Assumptions!$B$4="base",Assumptions!$E$45,Assumptions!$E$64))</f>
        <v>63760</v>
      </c>
      <c r="F11" s="17" t="n">
        <f aca="false">IF(Assumptions!$B$4="bear",Assumptions!$F$26,IF(Assumptions!$B$4="base",Assumptions!$F$45,Assumptions!$F$64))</f>
        <v>63760</v>
      </c>
      <c r="G11" s="17" t="n">
        <f aca="false">IF(Assumptions!$B$4="bear",Assumptions!$G$26,IF(Assumptions!$B$4="base",Assumptions!$G$45,Assumptions!$G$64))</f>
        <v>63760</v>
      </c>
      <c r="H11" s="17" t="n">
        <f aca="false">IF(Assumptions!$B$4="bear",Assumptions!$H$26,IF(Assumptions!$B$4="base",Assumptions!$H$45,Assumptions!$H$64))</f>
        <v>0</v>
      </c>
      <c r="I11" s="17" t="n">
        <f aca="false">IF(Assumptions!$B$4="bear",Assumptions!$I$26,IF(Assumptions!$B$4="base",Assumptions!$I$45,Assumptions!$I$64))</f>
        <v>0</v>
      </c>
    </row>
    <row r="12" customFormat="false" ht="22.5" hidden="false" customHeight="true" outlineLevel="0" collapsed="false">
      <c r="A12" s="0" t="s">
        <v>33</v>
      </c>
      <c r="B12" s="10" t="s">
        <v>125</v>
      </c>
      <c r="C12" s="17" t="n">
        <f aca="false">IF(Assumptions!$B$4="bear",Assumptions!$C$27,IF(Assumptions!$B$4="base",Assumptions!$C$46,Assumptions!$C$65))</f>
        <v>1</v>
      </c>
      <c r="D12" s="17" t="n">
        <f aca="false">IF(Assumptions!$B$4="bear",Assumptions!$D$27,IF(Assumptions!$B$4="base",Assumptions!$D$46,Assumptions!$D$65))</f>
        <v>1</v>
      </c>
      <c r="E12" s="17" t="n">
        <f aca="false">IF(Assumptions!$B$4="bear",Assumptions!$E$27,IF(Assumptions!$B$4="base",Assumptions!$E$46,Assumptions!$E$65))</f>
        <v>1</v>
      </c>
      <c r="F12" s="17" t="n">
        <f aca="false">IF(Assumptions!$B$4="bear",Assumptions!$F$27,IF(Assumptions!$B$4="base",Assumptions!$F$46,Assumptions!$F$65))</f>
        <v>1</v>
      </c>
      <c r="G12" s="17" t="n">
        <f aca="false">IF(Assumptions!$B$4="bear",Assumptions!$G$27,IF(Assumptions!$B$4="base",Assumptions!$G$46,Assumptions!$G$65))</f>
        <v>1</v>
      </c>
      <c r="H12" s="17" t="n">
        <f aca="false">IF(Assumptions!$B$4="bear",Assumptions!$H$27,IF(Assumptions!$B$4="base",Assumptions!$H$46,Assumptions!$H$65))</f>
        <v>0</v>
      </c>
      <c r="I12" s="17" t="n">
        <f aca="false">IF(Assumptions!$B$4="bear",Assumptions!$I$27,IF(Assumptions!$B$4="base",Assumptions!$I$46,Assumptions!$I$65))</f>
        <v>0</v>
      </c>
    </row>
    <row r="13" customFormat="false" ht="22.5" hidden="false" customHeight="true" outlineLevel="0" collapsed="false">
      <c r="A13" s="0" t="s">
        <v>35</v>
      </c>
      <c r="B13" s="10" t="s">
        <v>32</v>
      </c>
      <c r="C13" s="17" t="n">
        <f aca="false">IF(Assumptions!$B$4="bear",Assumptions!$C$28,IF(Assumptions!$B$4="base",Assumptions!$C$47,Assumptions!$C$66))</f>
        <v>27438</v>
      </c>
      <c r="D13" s="17" t="n">
        <f aca="false">IF(Assumptions!$B$4="bear",Assumptions!$D$28,IF(Assumptions!$B$4="base",Assumptions!$D$47,Assumptions!$D$66))</f>
        <v>27438</v>
      </c>
      <c r="E13" s="17" t="n">
        <f aca="false">IF(Assumptions!$B$4="bear",Assumptions!$E$28,IF(Assumptions!$B$4="base",Assumptions!$E$47,Assumptions!$E$66))</f>
        <v>27438</v>
      </c>
      <c r="F13" s="17" t="n">
        <f aca="false">IF(Assumptions!$B$4="bear",Assumptions!$F$28,IF(Assumptions!$B$4="base",Assumptions!$F$47,Assumptions!$F$66))</f>
        <v>27438</v>
      </c>
      <c r="G13" s="17" t="n">
        <f aca="false">IF(Assumptions!$B$4="bear",Assumptions!$G$28,IF(Assumptions!$B$4="base",Assumptions!$G$47,Assumptions!$G$66))</f>
        <v>27438</v>
      </c>
      <c r="H13" s="17" t="n">
        <f aca="false">IF(Assumptions!$B$4="bear",Assumptions!$H$28,IF(Assumptions!$B$4="base",Assumptions!$H$47,Assumptions!$H$66))</f>
        <v>0</v>
      </c>
      <c r="I13" s="17" t="n">
        <f aca="false">IF(Assumptions!$B$4="bear",Assumptions!$I$28,IF(Assumptions!$B$4="base",Assumptions!$I$47,Assumptions!$I$66))</f>
        <v>0</v>
      </c>
    </row>
    <row r="14" customFormat="false" ht="22.5" hidden="false" customHeight="true" outlineLevel="0" collapsed="false">
      <c r="A14" s="0" t="s">
        <v>36</v>
      </c>
      <c r="B14" s="10" t="s">
        <v>37</v>
      </c>
      <c r="C14" s="17" t="n">
        <f aca="false">IF(Assumptions!$B$4="bear",Assumptions!$C$29,IF(Assumptions!$B$4="base",Assumptions!$C$48,Assumptions!$C$67))</f>
        <v>0</v>
      </c>
      <c r="D14" s="17" t="n">
        <f aca="false">IF(Assumptions!$B$4="bear",Assumptions!$D$29,IF(Assumptions!$B$4="base",Assumptions!$D$48,Assumptions!$D$67))</f>
        <v>0</v>
      </c>
      <c r="E14" s="17" t="n">
        <f aca="false">IF(Assumptions!$B$4="bear",Assumptions!$E$29,IF(Assumptions!$B$4="base",Assumptions!$E$48,Assumptions!$E$67))</f>
        <v>0</v>
      </c>
      <c r="F14" s="17" t="n">
        <f aca="false">IF(Assumptions!$B$4="bear",Assumptions!$F$29,IF(Assumptions!$B$4="base",Assumptions!$F$48,Assumptions!$F$67))</f>
        <v>0</v>
      </c>
      <c r="G14" s="17" t="n">
        <f aca="false">IF(Assumptions!$B$4="bear",Assumptions!$G$29,IF(Assumptions!$B$4="base",Assumptions!$G$48,Assumptions!$G$67))</f>
        <v>0</v>
      </c>
      <c r="H14" s="17" t="n">
        <f aca="false">IF(Assumptions!$B$4="bear",Assumptions!$H$29,IF(Assumptions!$B$4="base",Assumptions!$H$48,Assumptions!$H$67))</f>
        <v>0</v>
      </c>
      <c r="I14" s="17" t="n">
        <f aca="false">IF(Assumptions!$B$4="bear",Assumptions!$I$29,IF(Assumptions!$B$4="base",Assumptions!$I$48,Assumptions!$I$67))</f>
        <v>0</v>
      </c>
    </row>
    <row r="15" customFormat="false" ht="22.5" hidden="false" customHeight="true" outlineLevel="0" collapsed="false">
      <c r="A15" s="0" t="s">
        <v>38</v>
      </c>
      <c r="B15" s="10" t="s">
        <v>37</v>
      </c>
      <c r="C15" s="17" t="n">
        <f aca="false">IF(Assumptions!$B$4="bear",Assumptions!$C$30,IF(Assumptions!$B$4="base",Assumptions!$C$49,Assumptions!$C$68))</f>
        <v>0.3</v>
      </c>
      <c r="D15" s="17" t="n">
        <f aca="false">IF(Assumptions!$B$4="bear",Assumptions!$D$30,IF(Assumptions!$B$4="base",Assumptions!$D$49,Assumptions!$D$68))</f>
        <v>0.3</v>
      </c>
      <c r="E15" s="17" t="n">
        <f aca="false">IF(Assumptions!$B$4="bear",Assumptions!$E$30,IF(Assumptions!$B$4="base",Assumptions!$E$49,Assumptions!$E$68))</f>
        <v>0.3</v>
      </c>
      <c r="F15" s="17" t="n">
        <f aca="false">IF(Assumptions!$B$4="bear",Assumptions!$F$30,IF(Assumptions!$B$4="base",Assumptions!$F$49,Assumptions!$F$68))</f>
        <v>0.3</v>
      </c>
      <c r="G15" s="17" t="n">
        <f aca="false">IF(Assumptions!$B$4="bear",Assumptions!$G$30,IF(Assumptions!$B$4="base",Assumptions!$G$49,Assumptions!$G$68))</f>
        <v>0.3</v>
      </c>
      <c r="H15" s="17" t="n">
        <f aca="false">IF(Assumptions!$B$4="bear",Assumptions!$H$30,IF(Assumptions!$B$4="base",Assumptions!$H$49,Assumptions!$H$68))</f>
        <v>0</v>
      </c>
      <c r="I15" s="17" t="n">
        <f aca="false">IF(Assumptions!$B$4="bear",Assumptions!$I$30,IF(Assumptions!$B$4="base",Assumptions!$I$49,Assumptions!$I$68))</f>
        <v>0</v>
      </c>
    </row>
    <row r="16" customFormat="false" ht="22.5" hidden="false" customHeight="true" outlineLevel="0" collapsed="false">
      <c r="A16" s="0" t="s">
        <v>39</v>
      </c>
      <c r="B16" s="10" t="s">
        <v>12</v>
      </c>
      <c r="C16" s="17" t="n">
        <f aca="false">IF(Assumptions!$B$4="bear",Assumptions!$C$31,IF(Assumptions!$B$4="base",Assumptions!$C$50,Assumptions!$C$69))</f>
        <v>0</v>
      </c>
      <c r="D16" s="17" t="n">
        <f aca="false">IF(Assumptions!$B$4="bear",Assumptions!$D$31,IF(Assumptions!$B$4="base",Assumptions!$D$50,Assumptions!$D$69))</f>
        <v>0</v>
      </c>
      <c r="E16" s="17" t="n">
        <f aca="false">IF(Assumptions!$B$4="bear",Assumptions!$E$31,IF(Assumptions!$B$4="base",Assumptions!$E$50,Assumptions!$E$69))</f>
        <v>0</v>
      </c>
      <c r="F16" s="17" t="n">
        <f aca="false">IF(Assumptions!$B$4="bear",Assumptions!$F$31,IF(Assumptions!$B$4="base",Assumptions!$F$50,Assumptions!$F$69))</f>
        <v>0</v>
      </c>
      <c r="G16" s="17" t="n">
        <f aca="false">IF(Assumptions!$B$4="bear",Assumptions!$G$31,IF(Assumptions!$B$4="base",Assumptions!$G$50,Assumptions!$G$69))</f>
        <v>0</v>
      </c>
      <c r="H16" s="17" t="n">
        <f aca="false">IF(Assumptions!$B$4="bear",Assumptions!$H$31,IF(Assumptions!$B$4="base",Assumptions!$H$50,Assumptions!$H$69))</f>
        <v>0</v>
      </c>
      <c r="I16" s="17" t="n">
        <f aca="false">IF(Assumptions!$B$4="bear",Assumptions!$I$31,IF(Assumptions!$B$4="base",Assumptions!$I$50,Assumptions!$I$69))</f>
        <v>0</v>
      </c>
    </row>
    <row r="17" customFormat="false" ht="22.5" hidden="false" customHeight="true" outlineLevel="0" collapsed="false">
      <c r="A17" s="0" t="s">
        <v>40</v>
      </c>
      <c r="B17" s="10" t="s">
        <v>12</v>
      </c>
      <c r="C17" s="17" t="n">
        <f aca="false">IF(Assumptions!$B$4="bear",Assumptions!$C$32,IF(Assumptions!$B$4="base",Assumptions!$C$51,Assumptions!$C$70))</f>
        <v>93600000</v>
      </c>
      <c r="D17" s="17" t="n">
        <f aca="false">IF(Assumptions!$B$4="bear",Assumptions!$D$32,IF(Assumptions!$B$4="base",Assumptions!$D$51,Assumptions!$D$70))</f>
        <v>93600000</v>
      </c>
      <c r="E17" s="17" t="n">
        <f aca="false">IF(Assumptions!$B$4="bear",Assumptions!$E$32,IF(Assumptions!$B$4="base",Assumptions!$E$51,Assumptions!$E$70))</f>
        <v>93600000</v>
      </c>
      <c r="F17" s="17" t="n">
        <f aca="false">IF(Assumptions!$B$4="bear",Assumptions!$F$32,IF(Assumptions!$B$4="base",Assumptions!$F$51,Assumptions!$F$70))</f>
        <v>93600000</v>
      </c>
      <c r="G17" s="17" t="n">
        <f aca="false">IF(Assumptions!$B$4="bear",Assumptions!$G$32,IF(Assumptions!$B$4="base",Assumptions!$G$51,Assumptions!$G$70))</f>
        <v>93600000</v>
      </c>
      <c r="H17" s="17" t="n">
        <f aca="false">IF(Assumptions!$B$4="bear",Assumptions!$H$32,IF(Assumptions!$B$4="base",Assumptions!$H$51,Assumptions!$H$70))</f>
        <v>0</v>
      </c>
      <c r="I17" s="17" t="n">
        <f aca="false">IF(Assumptions!$B$4="bear",Assumptions!$I$32,IF(Assumptions!$B$4="base",Assumptions!$I$51,Assumptions!$I$70))</f>
        <v>0</v>
      </c>
    </row>
    <row r="18" customFormat="false" ht="22.5" hidden="false" customHeight="true" outlineLevel="0" collapsed="false">
      <c r="A18" s="0" t="s">
        <v>41</v>
      </c>
      <c r="B18" s="10" t="s">
        <v>12</v>
      </c>
      <c r="C18" s="17" t="n">
        <f aca="false">IF(Assumptions!$B$4="bear",Assumptions!$C$33,IF(Assumptions!$B$4="base",Assumptions!$C$52,Assumptions!$C$71))</f>
        <v>0</v>
      </c>
      <c r="D18" s="17" t="n">
        <f aca="false">IF(Assumptions!$B$4="bear",Assumptions!$D$33,IF(Assumptions!$B$4="base",Assumptions!$D$52,Assumptions!$D$71))</f>
        <v>0</v>
      </c>
      <c r="E18" s="17" t="n">
        <f aca="false">IF(Assumptions!$B$4="bear",Assumptions!$E$33,IF(Assumptions!$B$4="base",Assumptions!$E$52,Assumptions!$E$71))</f>
        <v>0</v>
      </c>
      <c r="F18" s="17" t="n">
        <f aca="false">IF(Assumptions!$B$4="bear",Assumptions!$F$33,IF(Assumptions!$B$4="base",Assumptions!$F$52,Assumptions!$F$71))</f>
        <v>0</v>
      </c>
      <c r="G18" s="17" t="n">
        <f aca="false">IF(Assumptions!$B$4="bear",Assumptions!$G$33,IF(Assumptions!$B$4="base",Assumptions!$G$52,Assumptions!$G$71))</f>
        <v>0</v>
      </c>
      <c r="H18" s="17" t="n">
        <f aca="false">IF(Assumptions!$B$4="bear",Assumptions!$H$33,IF(Assumptions!$B$4="base",Assumptions!$H$52,Assumptions!$H$71))</f>
        <v>0</v>
      </c>
      <c r="I18" s="17" t="n">
        <f aca="false">IF(Assumptions!$B$4="bear",Assumptions!$I$33,IF(Assumptions!$B$4="base",Assumptions!$I$52,Assumptions!$I$71))</f>
        <v>0</v>
      </c>
    </row>
    <row r="19" customFormat="false" ht="22.5" hidden="false" customHeight="true" outlineLevel="0" collapsed="false">
      <c r="A19" s="0" t="s">
        <v>42</v>
      </c>
      <c r="B19" s="10" t="s">
        <v>12</v>
      </c>
      <c r="C19" s="17" t="n">
        <f aca="false">IF(Assumptions!$B$4="bear",Assumptions!$C$34,IF(Assumptions!$B$4="base",Assumptions!$C$53,Assumptions!$C$72))</f>
        <v>0</v>
      </c>
      <c r="D19" s="17" t="n">
        <f aca="false">IF(Assumptions!$B$4="bear",Assumptions!$D$34,IF(Assumptions!$B$4="base",Assumptions!$D$53,Assumptions!$D$72))</f>
        <v>0</v>
      </c>
      <c r="E19" s="17" t="n">
        <f aca="false">IF(Assumptions!$B$4="bear",Assumptions!$E$34,IF(Assumptions!$B$4="base",Assumptions!$E$53,Assumptions!$E$72))</f>
        <v>0</v>
      </c>
      <c r="F19" s="17" t="n">
        <f aca="false">IF(Assumptions!$B$4="bear",Assumptions!$F$34,IF(Assumptions!$B$4="base",Assumptions!$F$53,Assumptions!$F$72))</f>
        <v>0</v>
      </c>
      <c r="G19" s="17" t="n">
        <f aca="false">IF(Assumptions!$B$4="bear",Assumptions!$G$34,IF(Assumptions!$B$4="base",Assumptions!$G$53,Assumptions!$G$72))</f>
        <v>100000000</v>
      </c>
      <c r="H19" s="17" t="n">
        <f aca="false">IF(Assumptions!$B$4="bear",Assumptions!$H$34,IF(Assumptions!$B$4="base",Assumptions!$H$53,Assumptions!$H$72))</f>
        <v>0</v>
      </c>
      <c r="I19" s="17" t="n">
        <f aca="false">IF(Assumptions!$B$4="bear",Assumptions!$I$34,IF(Assumptions!$B$4="base",Assumptions!$I$53,Assumptions!$I$72))</f>
        <v>0</v>
      </c>
    </row>
    <row r="20" customFormat="false" ht="22.5" hidden="false" customHeight="true" outlineLevel="0" collapsed="false">
      <c r="A20" s="0" t="s">
        <v>43</v>
      </c>
      <c r="B20" s="10" t="s">
        <v>12</v>
      </c>
      <c r="C20" s="17" t="n">
        <f aca="false">IF(Assumptions!$B$4="bear",Assumptions!$C$35,IF(Assumptions!$B$4="base",Assumptions!$C$54,Assumptions!$C$73))</f>
        <v>2240000</v>
      </c>
      <c r="D20" s="17" t="n">
        <f aca="false">IF(Assumptions!$B$4="bear",Assumptions!$D$35,IF(Assumptions!$B$4="base",Assumptions!$D$54,Assumptions!$D$73))</f>
        <v>2240000</v>
      </c>
      <c r="E20" s="17" t="n">
        <f aca="false">IF(Assumptions!$B$4="bear",Assumptions!$E$35,IF(Assumptions!$B$4="base",Assumptions!$E$54,Assumptions!$E$73))</f>
        <v>2240000</v>
      </c>
      <c r="F20" s="17" t="n">
        <f aca="false">IF(Assumptions!$B$4="bear",Assumptions!$F$35,IF(Assumptions!$B$4="base",Assumptions!$F$54,Assumptions!$F$73))</f>
        <v>2240000</v>
      </c>
      <c r="G20" s="17" t="n">
        <f aca="false">IF(Assumptions!$B$4="bear",Assumptions!$G$35,IF(Assumptions!$B$4="base",Assumptions!$G$54,Assumptions!$G$73))</f>
        <v>2240000</v>
      </c>
      <c r="H20" s="17" t="n">
        <f aca="false">IF(Assumptions!$B$4="bear",Assumptions!$H$35,IF(Assumptions!$B$4="base",Assumptions!$H$54,Assumptions!$H$73))</f>
        <v>0</v>
      </c>
      <c r="I20" s="17" t="n">
        <f aca="false">IF(Assumptions!$B$4="bear",Assumptions!$I$35,IF(Assumptions!$B$4="base",Assumptions!$I$54,Assumptions!$I$73))</f>
        <v>0</v>
      </c>
    </row>
    <row r="23" customFormat="false" ht="22.5" hidden="false" customHeight="true" outlineLevel="0" collapsed="false">
      <c r="A23" s="13" t="s">
        <v>126</v>
      </c>
      <c r="B23" s="10" t="s">
        <v>12</v>
      </c>
      <c r="C23" s="14" t="n">
        <f aca="false">Operating!$C$10*Operating!$C$11*Operating!$C$12</f>
        <v>719659120</v>
      </c>
      <c r="D23" s="14" t="n">
        <f aca="false">Operating!$D$10*Operating!$D$11*Operating!$D$12</f>
        <v>719659120</v>
      </c>
      <c r="E23" s="14" t="n">
        <f aca="false">Operating!$E$10*Operating!$E$11*Operating!$E$12</f>
        <v>719659120</v>
      </c>
      <c r="F23" s="14" t="n">
        <f aca="false">Operating!$F$10*Operating!$F$11*Operating!$F$12</f>
        <v>719659120</v>
      </c>
      <c r="G23" s="14" t="n">
        <f aca="false">Operating!$G$10*Operating!$G$11*Operating!$G$12</f>
        <v>719659120</v>
      </c>
      <c r="H23" s="14" t="n">
        <f aca="false">Operating!$H$10*Operating!$H$11*Operating!$H$12</f>
        <v>0</v>
      </c>
      <c r="I23" s="14" t="n">
        <f aca="false">Operating!$I$10*Operating!$I$11*Operating!$I$12</f>
        <v>0</v>
      </c>
    </row>
    <row r="24" customFormat="false" ht="22.5" hidden="false" customHeight="true" outlineLevel="0" collapsed="false">
      <c r="A24" s="13" t="s">
        <v>127</v>
      </c>
      <c r="B24" s="10" t="s">
        <v>12</v>
      </c>
      <c r="C24" s="14" t="n">
        <f aca="false">Operating!$C$10*Operating!$C$13</f>
        <v>309692706</v>
      </c>
      <c r="D24" s="14" t="n">
        <f aca="false">Operating!$D$10*Operating!$D$13</f>
        <v>309692706</v>
      </c>
      <c r="E24" s="14" t="n">
        <f aca="false">Operating!$E$10*Operating!$E$13</f>
        <v>309692706</v>
      </c>
      <c r="F24" s="14" t="n">
        <f aca="false">Operating!$F$10*Operating!$F$13</f>
        <v>309692706</v>
      </c>
      <c r="G24" s="14" t="n">
        <f aca="false">Operating!$G$10*Operating!$G$13</f>
        <v>309692706</v>
      </c>
      <c r="H24" s="14" t="n">
        <f aca="false">Operating!$H$10*Operating!$H$13</f>
        <v>0</v>
      </c>
      <c r="I24" s="14" t="n">
        <f aca="false">Operating!$I$10*Operating!$I$13</f>
        <v>0</v>
      </c>
    </row>
    <row r="25" customFormat="false" ht="22.5" hidden="false" customHeight="true" outlineLevel="0" collapsed="false">
      <c r="A25" s="13" t="s">
        <v>128</v>
      </c>
      <c r="B25" s="10" t="s">
        <v>12</v>
      </c>
      <c r="C25" s="14" t="n">
        <f aca="false">Operating!$C$23*Operating!$C$14</f>
        <v>0</v>
      </c>
      <c r="D25" s="14" t="n">
        <f aca="false">Operating!$D$23*Operating!$D$14</f>
        <v>0</v>
      </c>
      <c r="E25" s="14" t="n">
        <f aca="false">Operating!$E$23*Operating!$E$14</f>
        <v>0</v>
      </c>
      <c r="F25" s="14" t="n">
        <f aca="false">Operating!$F$23*Operating!$F$14</f>
        <v>0</v>
      </c>
      <c r="G25" s="14" t="n">
        <f aca="false">Operating!$G$23*Operating!$G$14</f>
        <v>0</v>
      </c>
      <c r="H25" s="14" t="n">
        <f aca="false">Operating!$H$23*Operating!$H$14</f>
        <v>0</v>
      </c>
      <c r="I25" s="14" t="n">
        <f aca="false">Operating!$I$23*Operating!$I$14</f>
        <v>0</v>
      </c>
    </row>
    <row r="26" customFormat="false" ht="22.5" hidden="false" customHeight="true" outlineLevel="0" collapsed="false">
      <c r="A26" s="13" t="s">
        <v>129</v>
      </c>
      <c r="B26" s="10" t="s">
        <v>12</v>
      </c>
      <c r="C26" s="14" t="n">
        <f aca="false">Operating!$C$23-Operating!$C$24-Operating!$C$25-Operating!$C$16</f>
        <v>409966414</v>
      </c>
      <c r="D26" s="14" t="n">
        <f aca="false">Operating!$D$23-Operating!$D$24-Operating!$D$25-Operating!$D$16</f>
        <v>409966414</v>
      </c>
      <c r="E26" s="14" t="n">
        <f aca="false">Operating!$E$23-Operating!$E$24-Operating!$E$25-Operating!$E$16</f>
        <v>409966414</v>
      </c>
      <c r="F26" s="14" t="n">
        <f aca="false">Operating!$F$23-Operating!$F$24-Operating!$F$25-Operating!$F$16</f>
        <v>409966414</v>
      </c>
      <c r="G26" s="14" t="n">
        <f aca="false">Operating!$G$23-Operating!$G$24-Operating!$G$25-Operating!$G$16</f>
        <v>409966414</v>
      </c>
      <c r="H26" s="14" t="n">
        <f aca="false">Operating!$H$23-Operating!$H$24-Operating!$H$25-Operating!$H$16</f>
        <v>0</v>
      </c>
      <c r="I26" s="14" t="n">
        <f aca="false">Operating!$I$23-Operating!$I$24-Operating!$I$25-Operating!$I$16</f>
        <v>0</v>
      </c>
    </row>
    <row r="27" customFormat="false" ht="22.5" hidden="false" customHeight="true" outlineLevel="0" collapsed="false">
      <c r="A27" s="13" t="s">
        <v>130</v>
      </c>
      <c r="B27" s="10" t="s">
        <v>12</v>
      </c>
      <c r="C27" s="14" t="n">
        <f aca="false">MAX(0,Operating!$C$26)*Operating!$C$15</f>
        <v>122989924.2</v>
      </c>
      <c r="D27" s="14" t="n">
        <f aca="false">MAX(0,Operating!$D$26)*Operating!$D$15</f>
        <v>122989924.2</v>
      </c>
      <c r="E27" s="14" t="n">
        <f aca="false">MAX(0,Operating!$E$26)*Operating!$E$15</f>
        <v>122989924.2</v>
      </c>
      <c r="F27" s="14" t="n">
        <f aca="false">MAX(0,Operating!$F$26)*Operating!$F$15</f>
        <v>122989924.2</v>
      </c>
      <c r="G27" s="14" t="n">
        <f aca="false">MAX(0,Operating!$G$26)*Operating!$G$15</f>
        <v>122989924.2</v>
      </c>
      <c r="H27" s="14" t="n">
        <f aca="false">MAX(0,Operating!$H$26)*Operating!$H$15</f>
        <v>0</v>
      </c>
      <c r="I27" s="14" t="n">
        <f aca="false">MAX(0,Operating!$I$26)*Operating!$I$15</f>
        <v>0</v>
      </c>
    </row>
    <row r="28" customFormat="false" ht="22.5" hidden="false" customHeight="true" outlineLevel="0" collapsed="false">
      <c r="A28" s="13" t="s">
        <v>131</v>
      </c>
      <c r="B28" s="10" t="s">
        <v>12</v>
      </c>
      <c r="C28" s="14" t="n">
        <f aca="false">Operating!$C$26-Operating!$C$27</f>
        <v>286976489.8</v>
      </c>
      <c r="D28" s="14" t="n">
        <f aca="false">Operating!$D$26-Operating!$D$27</f>
        <v>286976489.8</v>
      </c>
      <c r="E28" s="14" t="n">
        <f aca="false">Operating!$E$26-Operating!$E$27</f>
        <v>286976489.8</v>
      </c>
      <c r="F28" s="14" t="n">
        <f aca="false">Operating!$F$26-Operating!$F$27</f>
        <v>286976489.8</v>
      </c>
      <c r="G28" s="14" t="n">
        <f aca="false">Operating!$G$26-Operating!$G$27</f>
        <v>286976489.8</v>
      </c>
      <c r="H28" s="14" t="n">
        <f aca="false">Operating!$H$26-Operating!$H$27</f>
        <v>0</v>
      </c>
      <c r="I28" s="14" t="n">
        <f aca="false">Operating!$I$26-Operating!$I$27</f>
        <v>0</v>
      </c>
    </row>
    <row r="29" customFormat="false" ht="22.5" hidden="false" customHeight="true" outlineLevel="0" collapsed="false">
      <c r="A29" s="13" t="s">
        <v>132</v>
      </c>
      <c r="B29" s="10" t="s">
        <v>12</v>
      </c>
      <c r="C29" s="14" t="n">
        <f aca="false">Operating!$C$28+Operating!$C$16-Operating!$C$17-Operating!$C$18-Operating!$C$19</f>
        <v>193376489.8</v>
      </c>
      <c r="D29" s="14" t="n">
        <f aca="false">Operating!$D$28+Operating!$D$16-Operating!$D$17-Operating!$D$18-Operating!$D$19</f>
        <v>193376489.8</v>
      </c>
      <c r="E29" s="14" t="n">
        <f aca="false">Operating!$E$28+Operating!$E$16-Operating!$E$17-Operating!$E$18-Operating!$E$19</f>
        <v>193376489.8</v>
      </c>
      <c r="F29" s="14" t="n">
        <f aca="false">Operating!$F$28+Operating!$F$16-Operating!$F$17-Operating!$F$18-Operating!$F$19</f>
        <v>193376489.8</v>
      </c>
      <c r="G29" s="14" t="n">
        <f aca="false">Operating!$G$28+Operating!$G$16-Operating!$G$17-Operating!$G$18-Operating!$G$19</f>
        <v>93376489.8</v>
      </c>
      <c r="H29" s="14" t="n">
        <f aca="false">Operating!$H$28+Operating!$H$16-Operating!$H$17-Operating!$H$18-Operating!$H$19</f>
        <v>0</v>
      </c>
      <c r="I29" s="14" t="n">
        <f aca="false">Operating!$I$28+Operating!$I$16-Operating!$I$17-Operating!$I$18-Operating!$I$19</f>
        <v>0</v>
      </c>
    </row>
    <row r="30" customFormat="false" ht="22.5" hidden="false" customHeight="true" outlineLevel="0" collapsed="false">
      <c r="A30" s="7" t="s">
        <v>133</v>
      </c>
      <c r="B30" s="10" t="s">
        <v>12</v>
      </c>
      <c r="C30" s="18" t="n">
        <f aca="false">Operating!$C$29*Operating!$B$5-Operating!$C$20+IF(1=Operating!$B$7,Operating!$B$6,0)</f>
        <v>94448244.9</v>
      </c>
      <c r="D30" s="18" t="n">
        <f aca="false">Operating!$D$29*Operating!$B$5-Operating!$D$20+IF(2=Operating!$B$7,Operating!$B$6,0)</f>
        <v>94448244.9</v>
      </c>
      <c r="E30" s="18" t="n">
        <f aca="false">Operating!$E$29*Operating!$B$5-Operating!$E$20+IF(3=Operating!$B$7,Operating!$B$6,0)</f>
        <v>94448244.9</v>
      </c>
      <c r="F30" s="18" t="n">
        <f aca="false">Operating!$F$29*Operating!$B$5-Operating!$F$20+IF(4=Operating!$B$7,Operating!$B$6,0)</f>
        <v>94448244.9</v>
      </c>
      <c r="G30" s="18" t="n">
        <f aca="false">Operating!$G$29*Operating!$B$5-Operating!$G$20+IF(5=Operating!$B$7,Operating!$B$6,0)</f>
        <v>44448244.9</v>
      </c>
      <c r="H30" s="18" t="n">
        <f aca="false">Operating!$H$29*Operating!$B$5-Operating!$H$20+IF(6=Operating!$B$7,Operating!$B$6,0)</f>
        <v>0</v>
      </c>
      <c r="I30" s="18" t="n">
        <f aca="false">Operating!$I$29*Operating!$B$5-Operating!$I$20+IF(7=Operating!$B$7,Operating!$B$6,0)</f>
        <v>0</v>
      </c>
    </row>
    <row r="31" customFormat="false" ht="22.5" hidden="false" customHeight="true" outlineLevel="0" collapsed="false">
      <c r="A31" s="7" t="s">
        <v>134</v>
      </c>
      <c r="B31" s="10" t="s">
        <v>12</v>
      </c>
      <c r="C31" s="18" t="n">
        <f aca="false">Operating!$C$30/(1+Operating!$B$4)^1</f>
        <v>85862040.8181818</v>
      </c>
      <c r="D31" s="18" t="n">
        <f aca="false">Operating!$D$30/(1+Operating!$B$4)^2</f>
        <v>78056400.7438016</v>
      </c>
      <c r="E31" s="18" t="n">
        <f aca="false">Operating!$E$30/(1+Operating!$B$4)^3</f>
        <v>70960364.3125469</v>
      </c>
      <c r="F31" s="18" t="n">
        <f aca="false">Operating!$F$30/(1+Operating!$B$4)^4</f>
        <v>64509422.1023154</v>
      </c>
      <c r="G31" s="18" t="n">
        <f aca="false">Operating!$G$30/(1+Operating!$B$4)^5</f>
        <v>27598863.0309653</v>
      </c>
      <c r="H31" s="18" t="n">
        <f aca="false">Operating!$H$30/(1+Operating!$B$4)^6</f>
        <v>0</v>
      </c>
      <c r="I31" s="18" t="n">
        <f aca="false">Operating!$I$30/(1+Operating!$B$4)^7</f>
        <v>0</v>
      </c>
    </row>
    <row r="32" customFormat="false" ht="22.5" hidden="false" customHeight="true" outlineLevel="0" collapsed="false">
      <c r="A32" s="13" t="s">
        <v>135</v>
      </c>
      <c r="B32" s="10" t="s">
        <v>12</v>
      </c>
      <c r="C32" s="18" t="n">
        <f aca="false">Assumptions!$B$7+Operating!$C$30</f>
        <v>468448244.9</v>
      </c>
      <c r="D32" s="18" t="n">
        <f aca="false">Operating!$C$32+Operating!$D$30</f>
        <v>562896489.8</v>
      </c>
      <c r="E32" s="18" t="n">
        <f aca="false">Operating!$D$32+Operating!$E$30</f>
        <v>657344734.7</v>
      </c>
      <c r="F32" s="18" t="n">
        <f aca="false">Operating!$E$32+Operating!$F$30</f>
        <v>751792979.6</v>
      </c>
      <c r="G32" s="18" t="n">
        <f aca="false">Operating!$F$32+Operating!$G$30</f>
        <v>796241224.5</v>
      </c>
      <c r="H32" s="18" t="n">
        <f aca="false">Operating!$G$32+Operating!$H$30</f>
        <v>796241224.5</v>
      </c>
      <c r="I32" s="18" t="n">
        <f aca="false">Operating!$H$32+Operating!$I$30</f>
        <v>796241224.5</v>
      </c>
    </row>
    <row r="34" customFormat="false" ht="22.5" hidden="false" customHeight="true" outlineLevel="0" collapsed="false">
      <c r="A34" s="6" t="s">
        <v>136</v>
      </c>
      <c r="B34" s="6"/>
      <c r="C34" s="6"/>
      <c r="D34" s="6"/>
      <c r="E34" s="6"/>
      <c r="F34" s="6"/>
      <c r="G34" s="6"/>
      <c r="H34" s="6"/>
      <c r="I34" s="6"/>
    </row>
    <row r="35" customFormat="false" ht="22.5" hidden="false" customHeight="true" outlineLevel="0" collapsed="false">
      <c r="A35" s="6"/>
      <c r="B35" s="6"/>
      <c r="C35" s="6"/>
      <c r="D35" s="6"/>
      <c r="E35" s="6"/>
      <c r="F35" s="6"/>
      <c r="G35" s="6"/>
      <c r="H35" s="6"/>
      <c r="I35" s="6"/>
    </row>
  </sheetData>
  <mergeCells count="2">
    <mergeCell ref="A1:I2"/>
    <mergeCell ref="A34:I35"/>
  </mergeCells>
  <printOptions headings="false" gridLines="false" gridLinesSet="true" horizontalCentered="false" verticalCentered="false"/>
  <pageMargins left="0.3" right="0.3" top="0.4" bottom="0.4" header="0.511811023622047" footer="0.3"/>
  <pageSetup paperSize="9" scale="100" fitToWidth="1" fitToHeight="1" pageOrder="downThenOver" orientation="landscape" blackAndWhite="false" draft="false" cellComments="none" horizontalDpi="300" verticalDpi="300" copies="1"/>
  <headerFooter differentFirst="false" differentOddEven="false">
    <oddHeader/>
    <oddFooter>&amp;Lasx-mlx | Operating&amp;RPage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2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137</v>
      </c>
      <c r="B1" s="1"/>
      <c r="C1" s="1"/>
      <c r="D1" s="1"/>
      <c r="E1" s="1"/>
      <c r="F1" s="1"/>
      <c r="G1" s="1"/>
      <c r="H1" s="1"/>
      <c r="I1" s="1"/>
    </row>
    <row r="2" customFormat="false" ht="22.5" hidden="false" customHeight="true" outlineLevel="0" collapsed="false">
      <c r="A2" s="1"/>
      <c r="B2" s="1"/>
      <c r="C2" s="1"/>
      <c r="D2" s="1"/>
      <c r="E2" s="1"/>
      <c r="F2" s="1"/>
      <c r="G2" s="1"/>
      <c r="H2" s="1"/>
      <c r="I2" s="1"/>
    </row>
    <row r="5" customFormat="false" ht="22.5" hidden="false" customHeight="true" outlineLevel="0" collapsed="false">
      <c r="A5" s="0" t="s">
        <v>138</v>
      </c>
      <c r="B5" s="17" t="n">
        <f aca="false">SUM(Operating!C31:I31)</f>
        <v>326987091.007811</v>
      </c>
      <c r="C5" s="10" t="s">
        <v>12</v>
      </c>
    </row>
    <row r="6" customFormat="false" ht="22.5" hidden="false" customHeight="true" outlineLevel="0" collapsed="false">
      <c r="A6" s="0" t="s">
        <v>11</v>
      </c>
      <c r="B6" s="17" t="n">
        <f aca="false">Assumptions!$B$7</f>
        <v>374000000</v>
      </c>
      <c r="C6" s="10" t="s">
        <v>12</v>
      </c>
    </row>
    <row r="7" customFormat="false" ht="22.5" hidden="false" customHeight="true" outlineLevel="0" collapsed="false">
      <c r="A7" s="0" t="s">
        <v>14</v>
      </c>
      <c r="B7" s="17" t="n">
        <f aca="false">Assumptions!$B$9</f>
        <v>0</v>
      </c>
      <c r="C7" s="10" t="s">
        <v>12</v>
      </c>
    </row>
    <row r="8" customFormat="false" ht="22.5" hidden="false" customHeight="true" outlineLevel="0" collapsed="false">
      <c r="A8" s="0" t="s">
        <v>13</v>
      </c>
      <c r="B8" s="17" t="n">
        <f aca="false">Assumptions!$B$8</f>
        <v>3285000</v>
      </c>
      <c r="C8" s="10" t="s">
        <v>12</v>
      </c>
    </row>
    <row r="9" customFormat="false" ht="22.5" hidden="false" customHeight="true" outlineLevel="0" collapsed="false">
      <c r="A9" s="0" t="s">
        <v>139</v>
      </c>
      <c r="B9" s="17" t="n">
        <f aca="false">B5+B6+B7-B8</f>
        <v>697702091.007811</v>
      </c>
      <c r="C9" s="10" t="s">
        <v>12</v>
      </c>
    </row>
    <row r="10" customFormat="false" ht="22.5" hidden="false" customHeight="true" outlineLevel="0" collapsed="false">
      <c r="A10" s="0" t="s">
        <v>15</v>
      </c>
      <c r="B10" s="17" t="n">
        <f aca="false">Assumptions!$B$10</f>
        <v>886391538</v>
      </c>
      <c r="C10" s="10" t="s">
        <v>16</v>
      </c>
    </row>
    <row r="11" customFormat="false" ht="22.5" hidden="false" customHeight="true" outlineLevel="0" collapsed="false">
      <c r="A11" s="0" t="s">
        <v>140</v>
      </c>
      <c r="B11" s="3" t="n">
        <f aca="false">B9/B10</f>
        <v>0.787126299267323</v>
      </c>
      <c r="C11" s="10" t="s">
        <v>18</v>
      </c>
    </row>
    <row r="12" customFormat="false" ht="22.5" hidden="false" customHeight="true" outlineLevel="0" collapsed="false">
      <c r="A12" s="0" t="s">
        <v>141</v>
      </c>
      <c r="B12" s="17" t="n">
        <f aca="false">MIN(Assumptions!$B$7,Operating!C32:I32)</f>
        <v>374000000</v>
      </c>
      <c r="C12" s="10" t="s">
        <v>12</v>
      </c>
    </row>
    <row r="15" customFormat="false" ht="22.5" hidden="false" customHeight="true" outlineLevel="0" collapsed="false">
      <c r="A15" s="0" t="s">
        <v>142</v>
      </c>
      <c r="B15" s="17" t="str">
        <f aca="false">IF(Assumptions!$B$11="","Unavailable",Assumptions!$B$11)</f>
        <v>Unavailable</v>
      </c>
    </row>
    <row r="16" customFormat="false" ht="22.5" hidden="false" customHeight="true" outlineLevel="0" collapsed="false">
      <c r="A16" s="0" t="s">
        <v>143</v>
      </c>
      <c r="B16" s="16" t="str">
        <f aca="false">IF(AND(ISNUMBER(B15),B15&gt;0),B11/B15-1,"Unavailable")</f>
        <v>Unavailable</v>
      </c>
    </row>
    <row r="19" customFormat="false" ht="22.5" hidden="false" customHeight="true" outlineLevel="0" collapsed="false">
      <c r="A19" s="6" t="s">
        <v>144</v>
      </c>
      <c r="B19" s="6"/>
      <c r="C19" s="6"/>
      <c r="D19" s="6"/>
      <c r="E19" s="6"/>
      <c r="F19" s="6"/>
    </row>
    <row r="20" customFormat="false" ht="22.5" hidden="false" customHeight="true" outlineLevel="0" collapsed="false">
      <c r="A20" s="6"/>
      <c r="B20" s="6"/>
      <c r="C20" s="6"/>
      <c r="D20" s="6"/>
      <c r="E20" s="6"/>
      <c r="F20" s="6"/>
    </row>
    <row r="21" customFormat="false" ht="22.5" hidden="false" customHeight="true" outlineLevel="0" collapsed="false">
      <c r="A21" s="6"/>
      <c r="B21" s="6"/>
      <c r="C21" s="6"/>
      <c r="D21" s="6"/>
      <c r="E21" s="6"/>
      <c r="F21" s="6"/>
    </row>
  </sheetData>
  <mergeCells count="2">
    <mergeCell ref="A1:I2"/>
    <mergeCell ref="A19:F21"/>
  </mergeCells>
  <printOptions headings="false" gridLines="false" gridLinesSet="true" horizontalCentered="false" verticalCentered="false"/>
  <pageMargins left="0.3" right="0.3" top="0.4" bottom="0.4"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&amp;Lasx-mlx | Valuation&amp;RPage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2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145</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6" t="s">
        <v>146</v>
      </c>
      <c r="B4" s="6"/>
      <c r="C4" s="6"/>
      <c r="D4" s="6"/>
      <c r="E4" s="6"/>
      <c r="F4" s="6"/>
    </row>
    <row r="5" customFormat="false" ht="22.5" hidden="false" customHeight="true" outlineLevel="0" collapsed="false">
      <c r="A5" s="6"/>
      <c r="B5" s="6"/>
      <c r="C5" s="6"/>
      <c r="D5" s="6"/>
      <c r="E5" s="6"/>
      <c r="F5" s="6"/>
    </row>
    <row r="7" customFormat="false" ht="22.5" hidden="false" customHeight="true" outlineLevel="0" collapsed="false">
      <c r="C7" s="16" t="n">
        <f aca="false">MAX(0,Operating!$B$4+(-0.02))</f>
        <v>0.08</v>
      </c>
      <c r="D7" s="16" t="n">
        <f aca="false">MAX(0,Operating!$B$4+(0))</f>
        <v>0.1</v>
      </c>
      <c r="E7" s="16" t="n">
        <f aca="false">MAX(0,Operating!$B$4+(0.02))</f>
        <v>0.12</v>
      </c>
    </row>
    <row r="8" customFormat="false" ht="22.5" hidden="false" customHeight="true" outlineLevel="0" collapsed="false">
      <c r="B8" s="14" t="n">
        <v>0.8</v>
      </c>
      <c r="C8" s="3" t="n">
        <f aca="false">(SUM(C17:I17)+Assumptions!$B$7+Assumptions!$B$9-Assumptions!$B$8)/Assumptions!$B$10</f>
        <v>0.578359517378467</v>
      </c>
      <c r="D8" s="3" t="n">
        <f aca="false">(SUM(C18:I18)+Assumptions!$B$7+Assumptions!$B$9-Assumptions!$B$8)/Assumptions!$B$10</f>
        <v>0.571685164335585</v>
      </c>
      <c r="E8" s="3" t="n">
        <f aca="false">(SUM(C19:I19)+Assumptions!$B$7+Assumptions!$B$9-Assumptions!$B$8)/Assumptions!$B$10</f>
        <v>0.565454109640298</v>
      </c>
    </row>
    <row r="9" customFormat="false" ht="22.5" hidden="false" customHeight="true" outlineLevel="0" collapsed="false">
      <c r="B9" s="14" t="n">
        <v>1</v>
      </c>
      <c r="C9" s="3" t="n">
        <f aca="false">(SUM(C20:I20)+Assumptions!$B$7+Assumptions!$B$9-Assumptions!$B$8)/Assumptions!$B$10</f>
        <v>0.805276522783041</v>
      </c>
      <c r="D9" s="3" t="n">
        <f aca="false">(SUM(C21:I21)+Assumptions!$B$7+Assumptions!$B$9-Assumptions!$B$8)/Assumptions!$B$10</f>
        <v>0.787126299267323</v>
      </c>
      <c r="E9" s="3" t="n">
        <f aca="false">(SUM(C22:I22)+Assumptions!$B$7+Assumptions!$B$9-Assumptions!$B$8)/Assumptions!$B$10</f>
        <v>0.770323737886184</v>
      </c>
    </row>
    <row r="10" customFormat="false" ht="22.5" hidden="false" customHeight="true" outlineLevel="0" collapsed="false">
      <c r="B10" s="14" t="n">
        <v>1.2</v>
      </c>
      <c r="C10" s="3" t="n">
        <f aca="false">(SUM(C23:I23)+Assumptions!$B$7+Assumptions!$B$9-Assumptions!$B$8)/Assumptions!$B$10</f>
        <v>1.03219352818761</v>
      </c>
      <c r="D10" s="3" t="n">
        <f aca="false">(SUM(C24:I24)+Assumptions!$B$7+Assumptions!$B$9-Assumptions!$B$8)/Assumptions!$B$10</f>
        <v>1.00256743419906</v>
      </c>
      <c r="E10" s="3" t="n">
        <f aca="false">(SUM(C25:I25)+Assumptions!$B$7+Assumptions!$B$9-Assumptions!$B$8)/Assumptions!$B$10</f>
        <v>0.975193366132069</v>
      </c>
    </row>
    <row r="15" customFormat="false" ht="22.5" hidden="false" customHeight="true" outlineLevel="0" collapsed="false">
      <c r="A15" s="7" t="s">
        <v>147</v>
      </c>
    </row>
    <row r="17" customFormat="false" ht="22.5" hidden="false" customHeight="true" outlineLevel="0" collapsed="false">
      <c r="A17" s="10" t="s">
        <v>148</v>
      </c>
      <c r="C17" s="17"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C7)^1</f>
        <v>40807506.0185185</v>
      </c>
      <c r="D17" s="17"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C7)^2</f>
        <v>37784727.7949246</v>
      </c>
      <c r="E17" s="17" t="n">
        <f aca="false">(((((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C7)^3</f>
        <v>34985859.0693746</v>
      </c>
      <c r="F17" s="17" t="n">
        <f aca="false">(((((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C7)^4</f>
        <v>32394313.9531246</v>
      </c>
      <c r="G17" s="17" t="n">
        <f aca="false">(((((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C7)^5</f>
        <v>-4034424.7099056</v>
      </c>
      <c r="H17" s="17" t="n">
        <f aca="false">(((((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C7)^6</f>
        <v>0</v>
      </c>
      <c r="I17" s="17" t="n">
        <f aca="false">(((((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C7)^7</f>
        <v>0</v>
      </c>
    </row>
    <row r="18" customFormat="false" ht="22.5" hidden="false" customHeight="true" outlineLevel="0" collapsed="false">
      <c r="A18" s="10" t="s">
        <v>149</v>
      </c>
      <c r="C18" s="17"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D7)^1</f>
        <v>40065551.3636364</v>
      </c>
      <c r="D18" s="17"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D7)^2</f>
        <v>36423228.5123967</v>
      </c>
      <c r="E18" s="17" t="n">
        <f aca="false">(((((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D7)^3</f>
        <v>33112025.9203606</v>
      </c>
      <c r="F18" s="17" t="n">
        <f aca="false">(((((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D7)^4</f>
        <v>30101841.7457824</v>
      </c>
      <c r="G18" s="17" t="n">
        <f aca="false">(((((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D7)^5</f>
        <v>-3680755.47497376</v>
      </c>
      <c r="H18" s="17" t="n">
        <f aca="false">(((((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D7)^6</f>
        <v>0</v>
      </c>
      <c r="I18" s="17" t="n">
        <f aca="false">(((((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D7)^7</f>
        <v>0</v>
      </c>
    </row>
    <row r="19" customFormat="false" ht="22.5" hidden="false" customHeight="true" outlineLevel="0" collapsed="false">
      <c r="A19" s="10" t="s">
        <v>150</v>
      </c>
      <c r="C19" s="17"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E7)^1</f>
        <v>39350095.0892857</v>
      </c>
      <c r="D19" s="17"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E7)^2</f>
        <v>35134013.4725765</v>
      </c>
      <c r="E19" s="17" t="n">
        <f aca="false">(((((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E7)^3</f>
        <v>31369654.886229</v>
      </c>
      <c r="F19" s="17" t="n">
        <f aca="false">(((((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E7)^4</f>
        <v>28008620.4341331</v>
      </c>
      <c r="G19" s="17" t="n">
        <f aca="false">(((((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E7)^5</f>
        <v>-3363645.96973972</v>
      </c>
      <c r="H19" s="17" t="n">
        <f aca="false">(((((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E7)^6</f>
        <v>0</v>
      </c>
      <c r="I19" s="17" t="n">
        <f aca="false">(((((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E7)^7</f>
        <v>0</v>
      </c>
    </row>
    <row r="20" customFormat="false" ht="22.5" hidden="false" customHeight="true" outlineLevel="0" collapsed="false">
      <c r="A20" s="10" t="s">
        <v>151</v>
      </c>
      <c r="C20" s="17"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C7)^1</f>
        <v>87452078.6111111</v>
      </c>
      <c r="D20" s="17"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C7)^2</f>
        <v>80974146.8621399</v>
      </c>
      <c r="E20" s="17" t="n">
        <f aca="false">(((((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C7)^3</f>
        <v>74976061.9093888</v>
      </c>
      <c r="F20" s="17" t="n">
        <f aca="false">(((((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C7)^4</f>
        <v>69422279.5457304</v>
      </c>
      <c r="G20" s="17" t="n">
        <f aca="false">(((((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C7)^5</f>
        <v>30250728.6165812</v>
      </c>
      <c r="H20" s="17" t="n">
        <f aca="false">(((((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C7)^6</f>
        <v>0</v>
      </c>
      <c r="I20" s="17" t="n">
        <f aca="false">(((((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C7)^7</f>
        <v>0</v>
      </c>
    </row>
    <row r="21" customFormat="false" ht="22.5" hidden="false" customHeight="true" outlineLevel="0" collapsed="false">
      <c r="A21" s="10" t="s">
        <v>152</v>
      </c>
      <c r="C21" s="17"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D7)^1</f>
        <v>85862040.8181818</v>
      </c>
      <c r="D21" s="17"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D7)^2</f>
        <v>78056400.7438016</v>
      </c>
      <c r="E21" s="17" t="n">
        <f aca="false">(((((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D7)^3</f>
        <v>70960364.3125469</v>
      </c>
      <c r="F21" s="17" t="n">
        <f aca="false">(((((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D7)^4</f>
        <v>64509422.1023154</v>
      </c>
      <c r="G21" s="17" t="n">
        <f aca="false">(((((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D7)^5</f>
        <v>27598863.0309653</v>
      </c>
      <c r="H21" s="17" t="n">
        <f aca="false">(((((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D7)^6</f>
        <v>0</v>
      </c>
      <c r="I21" s="17" t="n">
        <f aca="false">(((((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D7)^7</f>
        <v>0</v>
      </c>
    </row>
    <row r="22" customFormat="false" ht="22.5" hidden="false" customHeight="true" outlineLevel="0" collapsed="false">
      <c r="A22" s="10" t="s">
        <v>153</v>
      </c>
      <c r="C22" s="17"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E7)^1</f>
        <v>84328790.0892857</v>
      </c>
      <c r="D22" s="17"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E7)^2</f>
        <v>75293562.5797194</v>
      </c>
      <c r="E22" s="17" t="n">
        <f aca="false">(((((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E7)^3</f>
        <v>67226395.1604637</v>
      </c>
      <c r="F22" s="17" t="n">
        <f aca="false">(((((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E7)^4</f>
        <v>60023567.1075569</v>
      </c>
      <c r="G22" s="17" t="n">
        <f aca="false">(((((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E7)^5</f>
        <v>25221127.8458173</v>
      </c>
      <c r="H22" s="17" t="n">
        <f aca="false">(((((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E7)^6</f>
        <v>0</v>
      </c>
      <c r="I22" s="17" t="n">
        <f aca="false">(((((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E7)^7</f>
        <v>0</v>
      </c>
    </row>
    <row r="23" customFormat="false" ht="22.5" hidden="false" customHeight="true" outlineLevel="0" collapsed="false">
      <c r="A23" s="10" t="s">
        <v>154</v>
      </c>
      <c r="C23" s="17"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C7)^1</f>
        <v>134096651.203704</v>
      </c>
      <c r="D23" s="17"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C7)^2</f>
        <v>124163565.929355</v>
      </c>
      <c r="E23" s="17" t="n">
        <f aca="false">(((((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C7)^3</f>
        <v>114966264.749403</v>
      </c>
      <c r="F23" s="17" t="n">
        <f aca="false">(((((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C7)^4</f>
        <v>106450245.138336</v>
      </c>
      <c r="G23" s="17" t="n">
        <f aca="false">(((((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C7)^5</f>
        <v>64535881.943068</v>
      </c>
      <c r="H23" s="17" t="n">
        <f aca="false">(((((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C7)^6</f>
        <v>0</v>
      </c>
      <c r="I23" s="17" t="n">
        <f aca="false">(((((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C7)^7</f>
        <v>0</v>
      </c>
    </row>
    <row r="24" customFormat="false" ht="22.5" hidden="false" customHeight="true" outlineLevel="0" collapsed="false">
      <c r="A24" s="10" t="s">
        <v>155</v>
      </c>
      <c r="C24" s="17"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D7)^1</f>
        <v>131658530.272727</v>
      </c>
      <c r="D24" s="17"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D7)^2</f>
        <v>119689572.975207</v>
      </c>
      <c r="E24" s="17" t="n">
        <f aca="false">(((((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D7)^3</f>
        <v>108808702.704733</v>
      </c>
      <c r="F24" s="17" t="n">
        <f aca="false">(((((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D7)^4</f>
        <v>98917002.4588484</v>
      </c>
      <c r="G24" s="17" t="n">
        <f aca="false">(((((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D7)^5</f>
        <v>58878481.5369045</v>
      </c>
      <c r="H24" s="17" t="n">
        <f aca="false">(((((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D7)^6</f>
        <v>0</v>
      </c>
      <c r="I24" s="17" t="n">
        <f aca="false">(((((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D7)^7</f>
        <v>0</v>
      </c>
    </row>
    <row r="25" customFormat="false" ht="22.5" hidden="false" customHeight="true" outlineLevel="0" collapsed="false">
      <c r="A25" s="10" t="s">
        <v>156</v>
      </c>
      <c r="C25" s="17"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E7)^1</f>
        <v>129307485.089286</v>
      </c>
      <c r="D25" s="17"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E7)^2</f>
        <v>115453111.686862</v>
      </c>
      <c r="E25" s="17" t="n">
        <f aca="false">(((((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E7)^3</f>
        <v>103083135.434698</v>
      </c>
      <c r="F25" s="17" t="n">
        <f aca="false">(((((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E7)^4</f>
        <v>92038513.7809807</v>
      </c>
      <c r="G25" s="17" t="n">
        <f aca="false">(((((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E7)^5</f>
        <v>53805901.6613743</v>
      </c>
      <c r="H25" s="17" t="n">
        <f aca="false">(((((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E7)^6</f>
        <v>0</v>
      </c>
      <c r="I25" s="17" t="n">
        <f aca="false">(((((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E7)^7</f>
        <v>0</v>
      </c>
    </row>
  </sheetData>
  <mergeCells count="2">
    <mergeCell ref="A1:I2"/>
    <mergeCell ref="A4:F5"/>
  </mergeCells>
  <conditionalFormatting sqref="C8:E10">
    <cfRule type="colorScale" priority="2">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3" right="0.3" top="0.4" bottom="0.4"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&amp;Lasx-mlx | Sensitivities&amp;RPage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1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157</v>
      </c>
      <c r="B1" s="1"/>
      <c r="C1" s="1"/>
      <c r="D1" s="1"/>
      <c r="E1" s="1"/>
      <c r="F1" s="1"/>
      <c r="G1" s="1"/>
      <c r="H1" s="1"/>
      <c r="I1" s="1"/>
    </row>
    <row r="2" customFormat="false" ht="22.5" hidden="false" customHeight="true" outlineLevel="0" collapsed="false">
      <c r="A2" s="1"/>
      <c r="B2" s="1"/>
      <c r="C2" s="1"/>
      <c r="D2" s="1"/>
      <c r="E2" s="1"/>
      <c r="F2" s="1"/>
      <c r="G2" s="1"/>
      <c r="H2" s="1"/>
      <c r="I2" s="1"/>
    </row>
    <row r="5" customFormat="false" ht="22.5" hidden="false" customHeight="true" outlineLevel="0" collapsed="false">
      <c r="A5" s="0" t="s">
        <v>158</v>
      </c>
      <c r="B5" s="14" t="str">
        <f aca="false">IF(OR(Assumptions!B4="bear",Assumptions!B4="base",Assumptions!B4="bull"),"PASS","FAIL")</f>
        <v>PASS</v>
      </c>
    </row>
    <row r="6" customFormat="false" ht="22.5" hidden="false" customHeight="true" outlineLevel="0" collapsed="false">
      <c r="A6" s="0" t="s">
        <v>159</v>
      </c>
      <c r="B6" s="14" t="str">
        <f aca="false">IF(Assumptions!$B$10&gt;0,"PASS","FAIL")</f>
        <v>PASS</v>
      </c>
    </row>
    <row r="7" customFormat="false" ht="22.5" hidden="false" customHeight="true" outlineLevel="0" collapsed="false">
      <c r="A7" s="0" t="s">
        <v>160</v>
      </c>
      <c r="B7" s="14" t="str">
        <f aca="false">IF(ABS(Valuation!B9-(Valuation!B5+Valuation!B6+Valuation!B7-Valuation!B8))&lt;0.01,"PASS","FAIL")</f>
        <v>PASS</v>
      </c>
    </row>
    <row r="8" customFormat="false" ht="22.5" hidden="false" customHeight="true" outlineLevel="0" collapsed="false">
      <c r="A8" s="0" t="s">
        <v>161</v>
      </c>
      <c r="B8" s="14" t="str">
        <f aca="false">IF(ABS(Sensitivities!D9-Valuation!B11)&lt;0.000001,"PASS","FAIL")</f>
        <v>PASS</v>
      </c>
    </row>
    <row r="9" customFormat="false" ht="22.5" hidden="false" customHeight="true" outlineLevel="0" collapsed="false">
      <c r="A9" s="0" t="s">
        <v>162</v>
      </c>
      <c r="B9" s="14" t="str">
        <f aca="false">IF(OR(AND(Assumptions!$B$11="",Assumptions!$B$13=""),AND(ISNUMBER(Assumptions!$B$11),Assumptions!$B$11&gt;0,Assumptions!$B$13&lt;&gt;"")),"PASS","FAIL")</f>
        <v>PASS</v>
      </c>
    </row>
    <row r="10" customFormat="false" ht="22.5" hidden="false" customHeight="true" outlineLevel="0" collapsed="false">
      <c r="A10" s="0" t="s">
        <v>163</v>
      </c>
      <c r="B10" s="14" t="str">
        <f aca="false">IF(AND(Operating!$B$5&gt;=0,Operating!$B$5&lt;=1),"PASS","FAIL")</f>
        <v>PASS</v>
      </c>
    </row>
    <row r="13" customFormat="false" ht="22.5" hidden="false" customHeight="true" outlineLevel="0" collapsed="false">
      <c r="A13" s="6" t="s">
        <v>164</v>
      </c>
      <c r="B13" s="6"/>
      <c r="C13" s="6"/>
      <c r="D13" s="6"/>
      <c r="E13" s="6"/>
      <c r="F13" s="6"/>
    </row>
    <row r="14" customFormat="false" ht="22.5" hidden="false" customHeight="true" outlineLevel="0" collapsed="false">
      <c r="A14" s="6"/>
      <c r="B14" s="6"/>
      <c r="C14" s="6"/>
      <c r="D14" s="6"/>
      <c r="E14" s="6"/>
      <c r="F14" s="6"/>
    </row>
    <row r="15" customFormat="false" ht="22.5" hidden="false" customHeight="true" outlineLevel="0" collapsed="false">
      <c r="A15" s="6"/>
      <c r="B15" s="6"/>
      <c r="C15" s="6"/>
      <c r="D15" s="6"/>
      <c r="E15" s="6"/>
      <c r="F15" s="6"/>
    </row>
  </sheetData>
  <mergeCells count="2">
    <mergeCell ref="A1:I2"/>
    <mergeCell ref="A13:F15"/>
  </mergeCells>
  <conditionalFormatting sqref="B5:B10">
    <cfRule type="containsText" priority="2" operator="containsText" aboveAverage="0" equalAverage="0" bottom="0" percent="0" rank="0" text="PASS" dxfId="6">
      <formula>NOT(ISERROR(SEARCH("PASS",B5)))</formula>
    </cfRule>
    <cfRule type="containsText" priority="3" operator="containsText" aboveAverage="0" equalAverage="0" bottom="0" percent="0" rank="0" text="FAIL" dxfId="7">
      <formula>NOT(ISERROR(SEARCH("FAIL",B5)))</formula>
    </cfRule>
  </conditionalFormatting>
  <printOptions headings="false" gridLines="false" gridLinesSet="true" horizontalCentered="false" verticalCentered="false"/>
  <pageMargins left="0.3" right="0.3" top="0.4" bottom="0.4"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&amp;Lasx-mlx | Checks&amp;RPage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8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165</v>
      </c>
      <c r="B1" s="1"/>
      <c r="C1" s="1"/>
      <c r="D1" s="1"/>
      <c r="E1" s="1"/>
      <c r="F1" s="1"/>
      <c r="G1" s="1"/>
      <c r="H1" s="1"/>
      <c r="I1" s="1"/>
    </row>
    <row r="2" customFormat="false" ht="22.5" hidden="false" customHeight="true" outlineLevel="0" collapsed="false">
      <c r="A2" s="1"/>
      <c r="B2" s="1"/>
      <c r="C2" s="1"/>
      <c r="D2" s="1"/>
      <c r="E2" s="1"/>
      <c r="F2" s="1"/>
      <c r="G2" s="1"/>
      <c r="H2" s="1"/>
      <c r="I2" s="1"/>
    </row>
    <row r="5" customFormat="false" ht="22.5" hidden="false" customHeight="true" outlineLevel="0" collapsed="false">
      <c r="A5" s="5" t="s">
        <v>166</v>
      </c>
      <c r="B5" s="5"/>
      <c r="C5" s="5"/>
      <c r="D5" s="5"/>
      <c r="E5" s="5"/>
      <c r="F5" s="5"/>
      <c r="G5" s="5"/>
      <c r="H5" s="5"/>
    </row>
    <row r="6" customFormat="false" ht="22.5" hidden="false" customHeight="true" outlineLevel="0" collapsed="false">
      <c r="A6" s="5"/>
      <c r="B6" s="5"/>
      <c r="C6" s="5"/>
      <c r="D6" s="5"/>
      <c r="E6" s="5"/>
      <c r="F6" s="5"/>
      <c r="G6" s="5"/>
      <c r="H6" s="5"/>
    </row>
    <row r="7" customFormat="false" ht="22.5" hidden="false" customHeight="true" outlineLevel="0" collapsed="false">
      <c r="A7" s="5"/>
      <c r="B7" s="5"/>
      <c r="C7" s="5"/>
      <c r="D7" s="5"/>
      <c r="E7" s="5"/>
      <c r="F7" s="5"/>
      <c r="G7" s="5"/>
      <c r="H7" s="5"/>
    </row>
    <row r="9" customFormat="false" ht="22.5" hidden="false" customHeight="true" outlineLevel="0" collapsed="false">
      <c r="A9" s="5" t="s">
        <v>167</v>
      </c>
      <c r="B9" s="5"/>
      <c r="C9" s="5"/>
      <c r="D9" s="5"/>
      <c r="E9" s="5"/>
      <c r="F9" s="5"/>
      <c r="G9" s="5"/>
      <c r="H9" s="5"/>
    </row>
    <row r="10" customFormat="false" ht="22.5" hidden="false" customHeight="true" outlineLevel="0" collapsed="false">
      <c r="A10" s="5"/>
      <c r="B10" s="5"/>
      <c r="C10" s="5"/>
      <c r="D10" s="5"/>
      <c r="E10" s="5"/>
      <c r="F10" s="5"/>
      <c r="G10" s="5"/>
      <c r="H10" s="5"/>
    </row>
    <row r="11" customFormat="false" ht="22.5" hidden="false" customHeight="true" outlineLevel="0" collapsed="false">
      <c r="A11" s="5"/>
      <c r="B11" s="5"/>
      <c r="C11" s="5"/>
      <c r="D11" s="5"/>
      <c r="E11" s="5"/>
      <c r="F11" s="5"/>
      <c r="G11" s="5"/>
      <c r="H11" s="5"/>
    </row>
    <row r="13" customFormat="false" ht="22.5" hidden="false" customHeight="true" outlineLevel="0" collapsed="false">
      <c r="A13" s="5" t="s">
        <v>168</v>
      </c>
      <c r="B13" s="5"/>
      <c r="C13" s="5"/>
      <c r="D13" s="5"/>
      <c r="E13" s="5"/>
      <c r="F13" s="5"/>
      <c r="G13" s="5"/>
      <c r="H13" s="5"/>
    </row>
    <row r="14" customFormat="false" ht="22.5" hidden="false" customHeight="true" outlineLevel="0" collapsed="false">
      <c r="A14" s="5"/>
      <c r="B14" s="5"/>
      <c r="C14" s="5"/>
      <c r="D14" s="5"/>
      <c r="E14" s="5"/>
      <c r="F14" s="5"/>
      <c r="G14" s="5"/>
      <c r="H14" s="5"/>
    </row>
    <row r="15" customFormat="false" ht="22.5" hidden="false" customHeight="true" outlineLevel="0" collapsed="false">
      <c r="A15" s="5"/>
      <c r="B15" s="5"/>
      <c r="C15" s="5"/>
      <c r="D15" s="5"/>
      <c r="E15" s="5"/>
      <c r="F15" s="5"/>
      <c r="G15" s="5"/>
      <c r="H15" s="5"/>
    </row>
    <row r="17" customFormat="false" ht="22.5" hidden="false" customHeight="true" outlineLevel="0" collapsed="false">
      <c r="A17" s="5" t="s">
        <v>169</v>
      </c>
      <c r="B17" s="5"/>
      <c r="C17" s="5"/>
      <c r="D17" s="5"/>
      <c r="E17" s="5"/>
      <c r="F17" s="5"/>
      <c r="G17" s="5"/>
      <c r="H17" s="5"/>
    </row>
    <row r="18" customFormat="false" ht="22.5" hidden="false" customHeight="true" outlineLevel="0" collapsed="false">
      <c r="A18" s="5"/>
      <c r="B18" s="5"/>
      <c r="C18" s="5"/>
      <c r="D18" s="5"/>
      <c r="E18" s="5"/>
      <c r="F18" s="5"/>
      <c r="G18" s="5"/>
      <c r="H18" s="5"/>
    </row>
    <row r="19" customFormat="false" ht="22.5" hidden="false" customHeight="true" outlineLevel="0" collapsed="false">
      <c r="A19" s="5"/>
      <c r="B19" s="5"/>
      <c r="C19" s="5"/>
      <c r="D19" s="5"/>
      <c r="E19" s="5"/>
      <c r="F19" s="5"/>
      <c r="G19" s="5"/>
      <c r="H19" s="5"/>
    </row>
    <row r="21" customFormat="false" ht="22.5" hidden="false" customHeight="true" outlineLevel="0" collapsed="false">
      <c r="A21" s="5" t="s">
        <v>170</v>
      </c>
      <c r="B21" s="5"/>
      <c r="C21" s="5"/>
      <c r="D21" s="5"/>
      <c r="E21" s="5"/>
      <c r="F21" s="5"/>
      <c r="G21" s="5"/>
      <c r="H21" s="5"/>
    </row>
    <row r="22" customFormat="false" ht="22.5" hidden="false" customHeight="true" outlineLevel="0" collapsed="false">
      <c r="A22" s="5"/>
      <c r="B22" s="5"/>
      <c r="C22" s="5"/>
      <c r="D22" s="5"/>
      <c r="E22" s="5"/>
      <c r="F22" s="5"/>
      <c r="G22" s="5"/>
      <c r="H22" s="5"/>
    </row>
    <row r="23" customFormat="false" ht="22.5" hidden="false" customHeight="true" outlineLevel="0" collapsed="false">
      <c r="A23" s="5"/>
      <c r="B23" s="5"/>
      <c r="C23" s="5"/>
      <c r="D23" s="5"/>
      <c r="E23" s="5"/>
      <c r="F23" s="5"/>
      <c r="G23" s="5"/>
      <c r="H23" s="5"/>
    </row>
    <row r="25" customFormat="false" ht="22.5" hidden="false" customHeight="true" outlineLevel="0" collapsed="false">
      <c r="A25" s="5" t="s">
        <v>171</v>
      </c>
      <c r="B25" s="5"/>
      <c r="C25" s="5"/>
      <c r="D25" s="5"/>
      <c r="E25" s="5"/>
      <c r="F25" s="5"/>
      <c r="G25" s="5"/>
      <c r="H25" s="5"/>
    </row>
    <row r="26" customFormat="false" ht="22.5" hidden="false" customHeight="true" outlineLevel="0" collapsed="false">
      <c r="A26" s="5"/>
      <c r="B26" s="5"/>
      <c r="C26" s="5"/>
      <c r="D26" s="5"/>
      <c r="E26" s="5"/>
      <c r="F26" s="5"/>
      <c r="G26" s="5"/>
      <c r="H26" s="5"/>
    </row>
    <row r="27" customFormat="false" ht="22.5" hidden="false" customHeight="true" outlineLevel="0" collapsed="false">
      <c r="A27" s="5"/>
      <c r="B27" s="5"/>
      <c r="C27" s="5"/>
      <c r="D27" s="5"/>
      <c r="E27" s="5"/>
      <c r="F27" s="5"/>
      <c r="G27" s="5"/>
      <c r="H27" s="5"/>
    </row>
    <row r="29" customFormat="false" ht="22.5" hidden="false" customHeight="true" outlineLevel="0" collapsed="false">
      <c r="A29" s="5" t="s">
        <v>172</v>
      </c>
      <c r="B29" s="5"/>
      <c r="C29" s="5"/>
      <c r="D29" s="5"/>
      <c r="E29" s="5"/>
      <c r="F29" s="5"/>
      <c r="G29" s="5"/>
      <c r="H29" s="5"/>
    </row>
    <row r="30" customFormat="false" ht="22.5" hidden="false" customHeight="true" outlineLevel="0" collapsed="false">
      <c r="A30" s="5"/>
      <c r="B30" s="5"/>
      <c r="C30" s="5"/>
      <c r="D30" s="5"/>
      <c r="E30" s="5"/>
      <c r="F30" s="5"/>
      <c r="G30" s="5"/>
      <c r="H30" s="5"/>
    </row>
    <row r="31" customFormat="false" ht="22.5" hidden="false" customHeight="true" outlineLevel="0" collapsed="false">
      <c r="A31" s="5"/>
      <c r="B31" s="5"/>
      <c r="C31" s="5"/>
      <c r="D31" s="5"/>
      <c r="E31" s="5"/>
      <c r="F31" s="5"/>
      <c r="G31" s="5"/>
      <c r="H31" s="5"/>
    </row>
    <row r="33" customFormat="false" ht="22.5" hidden="false" customHeight="true" outlineLevel="0" collapsed="false">
      <c r="A33" s="2" t="s">
        <v>173</v>
      </c>
      <c r="B33" s="2"/>
      <c r="C33" s="2"/>
      <c r="D33" s="2"/>
      <c r="E33" s="2"/>
      <c r="F33" s="2"/>
      <c r="G33" s="2"/>
      <c r="H33" s="2"/>
    </row>
    <row r="35" customFormat="false" ht="22.5" hidden="false" customHeight="true" outlineLevel="0" collapsed="false">
      <c r="A35" s="5" t="s">
        <v>174</v>
      </c>
      <c r="B35" s="5"/>
      <c r="C35" s="5"/>
      <c r="D35" s="5"/>
      <c r="E35" s="5"/>
      <c r="F35" s="5"/>
      <c r="G35" s="5"/>
      <c r="H35" s="5"/>
    </row>
    <row r="36" customFormat="false" ht="22.5" hidden="false" customHeight="true" outlineLevel="0" collapsed="false">
      <c r="A36" s="5"/>
      <c r="B36" s="5"/>
      <c r="C36" s="5"/>
      <c r="D36" s="5"/>
      <c r="E36" s="5"/>
      <c r="F36" s="5"/>
      <c r="G36" s="5"/>
      <c r="H36" s="5"/>
    </row>
    <row r="37" customFormat="false" ht="22.5" hidden="false" customHeight="true" outlineLevel="0" collapsed="false">
      <c r="A37" s="5"/>
      <c r="B37" s="5"/>
      <c r="C37" s="5"/>
      <c r="D37" s="5"/>
      <c r="E37" s="5"/>
      <c r="F37" s="5"/>
      <c r="G37" s="5"/>
      <c r="H37" s="5"/>
    </row>
    <row r="39" customFormat="false" ht="22.5" hidden="false" customHeight="true" outlineLevel="0" collapsed="false">
      <c r="A39" s="5" t="s">
        <v>175</v>
      </c>
      <c r="B39" s="5"/>
      <c r="C39" s="5"/>
      <c r="D39" s="5"/>
      <c r="E39" s="5"/>
      <c r="F39" s="5"/>
      <c r="G39" s="5"/>
      <c r="H39" s="5"/>
    </row>
    <row r="40" customFormat="false" ht="22.5" hidden="false" customHeight="true" outlineLevel="0" collapsed="false">
      <c r="A40" s="5"/>
      <c r="B40" s="5"/>
      <c r="C40" s="5"/>
      <c r="D40" s="5"/>
      <c r="E40" s="5"/>
      <c r="F40" s="5"/>
      <c r="G40" s="5"/>
      <c r="H40" s="5"/>
    </row>
    <row r="41" customFormat="false" ht="22.5" hidden="false" customHeight="true" outlineLevel="0" collapsed="false">
      <c r="A41" s="5"/>
      <c r="B41" s="5"/>
      <c r="C41" s="5"/>
      <c r="D41" s="5"/>
      <c r="E41" s="5"/>
      <c r="F41" s="5"/>
      <c r="G41" s="5"/>
      <c r="H41" s="5"/>
    </row>
    <row r="43" customFormat="false" ht="22.5" hidden="false" customHeight="true" outlineLevel="0" collapsed="false">
      <c r="A43" s="5" t="s">
        <v>176</v>
      </c>
      <c r="B43" s="5"/>
      <c r="C43" s="5"/>
      <c r="D43" s="5"/>
      <c r="E43" s="5"/>
      <c r="F43" s="5"/>
      <c r="G43" s="5"/>
      <c r="H43" s="5"/>
    </row>
    <row r="44" customFormat="false" ht="22.5" hidden="false" customHeight="true" outlineLevel="0" collapsed="false">
      <c r="A44" s="5"/>
      <c r="B44" s="5"/>
      <c r="C44" s="5"/>
      <c r="D44" s="5"/>
      <c r="E44" s="5"/>
      <c r="F44" s="5"/>
      <c r="G44" s="5"/>
      <c r="H44" s="5"/>
    </row>
    <row r="45" customFormat="false" ht="22.5" hidden="false" customHeight="true" outlineLevel="0" collapsed="false">
      <c r="A45" s="5"/>
      <c r="B45" s="5"/>
      <c r="C45" s="5"/>
      <c r="D45" s="5"/>
      <c r="E45" s="5"/>
      <c r="F45" s="5"/>
      <c r="G45" s="5"/>
      <c r="H45" s="5"/>
    </row>
    <row r="47" customFormat="false" ht="22.5" hidden="false" customHeight="true" outlineLevel="0" collapsed="false">
      <c r="A47" s="5" t="s">
        <v>177</v>
      </c>
      <c r="B47" s="5"/>
      <c r="C47" s="5"/>
      <c r="D47" s="5"/>
      <c r="E47" s="5"/>
      <c r="F47" s="5"/>
      <c r="G47" s="5"/>
      <c r="H47" s="5"/>
    </row>
    <row r="48" customFormat="false" ht="22.5" hidden="false" customHeight="true" outlineLevel="0" collapsed="false">
      <c r="A48" s="5"/>
      <c r="B48" s="5"/>
      <c r="C48" s="5"/>
      <c r="D48" s="5"/>
      <c r="E48" s="5"/>
      <c r="F48" s="5"/>
      <c r="G48" s="5"/>
      <c r="H48" s="5"/>
    </row>
    <row r="49" customFormat="false" ht="22.5" hidden="false" customHeight="true" outlineLevel="0" collapsed="false">
      <c r="A49" s="5"/>
      <c r="B49" s="5"/>
      <c r="C49" s="5"/>
      <c r="D49" s="5"/>
      <c r="E49" s="5"/>
      <c r="F49" s="5"/>
      <c r="G49" s="5"/>
      <c r="H49" s="5"/>
    </row>
    <row r="51" customFormat="false" ht="22.5" hidden="false" customHeight="true" outlineLevel="0" collapsed="false">
      <c r="A51" s="5" t="s">
        <v>178</v>
      </c>
      <c r="B51" s="5"/>
      <c r="C51" s="5"/>
      <c r="D51" s="5"/>
      <c r="E51" s="5"/>
      <c r="F51" s="5"/>
      <c r="G51" s="5"/>
      <c r="H51" s="5"/>
    </row>
    <row r="52" customFormat="false" ht="22.5" hidden="false" customHeight="true" outlineLevel="0" collapsed="false">
      <c r="A52" s="5"/>
      <c r="B52" s="5"/>
      <c r="C52" s="5"/>
      <c r="D52" s="5"/>
      <c r="E52" s="5"/>
      <c r="F52" s="5"/>
      <c r="G52" s="5"/>
      <c r="H52" s="5"/>
    </row>
    <row r="53" customFormat="false" ht="22.5" hidden="false" customHeight="true" outlineLevel="0" collapsed="false">
      <c r="A53" s="5"/>
      <c r="B53" s="5"/>
      <c r="C53" s="5"/>
      <c r="D53" s="5"/>
      <c r="E53" s="5"/>
      <c r="F53" s="5"/>
      <c r="G53" s="5"/>
      <c r="H53" s="5"/>
    </row>
    <row r="55" customFormat="false" ht="22.5" hidden="false" customHeight="true" outlineLevel="0" collapsed="false">
      <c r="A55" s="5" t="s">
        <v>179</v>
      </c>
      <c r="B55" s="5"/>
      <c r="C55" s="5"/>
      <c r="D55" s="5"/>
      <c r="E55" s="5"/>
      <c r="F55" s="5"/>
      <c r="G55" s="5"/>
      <c r="H55" s="5"/>
    </row>
    <row r="56" customFormat="false" ht="22.5" hidden="false" customHeight="true" outlineLevel="0" collapsed="false">
      <c r="A56" s="5"/>
      <c r="B56" s="5"/>
      <c r="C56" s="5"/>
      <c r="D56" s="5"/>
      <c r="E56" s="5"/>
      <c r="F56" s="5"/>
      <c r="G56" s="5"/>
      <c r="H56" s="5"/>
    </row>
    <row r="57" customFormat="false" ht="22.5" hidden="false" customHeight="true" outlineLevel="0" collapsed="false">
      <c r="A57" s="5"/>
      <c r="B57" s="5"/>
      <c r="C57" s="5"/>
      <c r="D57" s="5"/>
      <c r="E57" s="5"/>
      <c r="F57" s="5"/>
      <c r="G57" s="5"/>
      <c r="H57" s="5"/>
    </row>
    <row r="59" customFormat="false" ht="22.5" hidden="false" customHeight="true" outlineLevel="0" collapsed="false">
      <c r="A59" s="5" t="s">
        <v>180</v>
      </c>
      <c r="B59" s="5"/>
      <c r="C59" s="5"/>
      <c r="D59" s="5"/>
      <c r="E59" s="5"/>
      <c r="F59" s="5"/>
      <c r="G59" s="5"/>
      <c r="H59" s="5"/>
    </row>
    <row r="60" customFormat="false" ht="22.5" hidden="false" customHeight="true" outlineLevel="0" collapsed="false">
      <c r="A60" s="5"/>
      <c r="B60" s="5"/>
      <c r="C60" s="5"/>
      <c r="D60" s="5"/>
      <c r="E60" s="5"/>
      <c r="F60" s="5"/>
      <c r="G60" s="5"/>
      <c r="H60" s="5"/>
    </row>
    <row r="61" customFormat="false" ht="22.5" hidden="false" customHeight="true" outlineLevel="0" collapsed="false">
      <c r="A61" s="5"/>
      <c r="B61" s="5"/>
      <c r="C61" s="5"/>
      <c r="D61" s="5"/>
      <c r="E61" s="5"/>
      <c r="F61" s="5"/>
      <c r="G61" s="5"/>
      <c r="H61" s="5"/>
    </row>
    <row r="63" customFormat="false" ht="22.5" hidden="false" customHeight="true" outlineLevel="0" collapsed="false">
      <c r="A63" s="5" t="s">
        <v>181</v>
      </c>
      <c r="B63" s="5"/>
      <c r="C63" s="5"/>
      <c r="D63" s="5"/>
      <c r="E63" s="5"/>
      <c r="F63" s="5"/>
      <c r="G63" s="5"/>
      <c r="H63" s="5"/>
    </row>
    <row r="64" customFormat="false" ht="22.5" hidden="false" customHeight="true" outlineLevel="0" collapsed="false">
      <c r="A64" s="5"/>
      <c r="B64" s="5"/>
      <c r="C64" s="5"/>
      <c r="D64" s="5"/>
      <c r="E64" s="5"/>
      <c r="F64" s="5"/>
      <c r="G64" s="5"/>
      <c r="H64" s="5"/>
    </row>
    <row r="65" customFormat="false" ht="22.5" hidden="false" customHeight="true" outlineLevel="0" collapsed="false">
      <c r="A65" s="5"/>
      <c r="B65" s="5"/>
      <c r="C65" s="5"/>
      <c r="D65" s="5"/>
      <c r="E65" s="5"/>
      <c r="F65" s="5"/>
      <c r="G65" s="5"/>
      <c r="H65" s="5"/>
    </row>
    <row r="67" customFormat="false" ht="22.5" hidden="false" customHeight="true" outlineLevel="0" collapsed="false">
      <c r="A67" s="5" t="s">
        <v>182</v>
      </c>
      <c r="B67" s="5"/>
      <c r="C67" s="5"/>
      <c r="D67" s="5"/>
      <c r="E67" s="5"/>
      <c r="F67" s="5"/>
      <c r="G67" s="5"/>
      <c r="H67" s="5"/>
    </row>
    <row r="68" customFormat="false" ht="22.5" hidden="false" customHeight="true" outlineLevel="0" collapsed="false">
      <c r="A68" s="5"/>
      <c r="B68" s="5"/>
      <c r="C68" s="5"/>
      <c r="D68" s="5"/>
      <c r="E68" s="5"/>
      <c r="F68" s="5"/>
      <c r="G68" s="5"/>
      <c r="H68" s="5"/>
    </row>
    <row r="69" customFormat="false" ht="22.5" hidden="false" customHeight="true" outlineLevel="0" collapsed="false">
      <c r="A69" s="5"/>
      <c r="B69" s="5"/>
      <c r="C69" s="5"/>
      <c r="D69" s="5"/>
      <c r="E69" s="5"/>
      <c r="F69" s="5"/>
      <c r="G69" s="5"/>
      <c r="H69" s="5"/>
    </row>
    <row r="71" customFormat="false" ht="22.5" hidden="false" customHeight="true" outlineLevel="0" collapsed="false">
      <c r="A71" s="5" t="s">
        <v>183</v>
      </c>
      <c r="B71" s="5"/>
      <c r="C71" s="5"/>
      <c r="D71" s="5"/>
      <c r="E71" s="5"/>
      <c r="F71" s="5"/>
      <c r="G71" s="5"/>
      <c r="H71" s="5"/>
    </row>
    <row r="72" customFormat="false" ht="22.5" hidden="false" customHeight="true" outlineLevel="0" collapsed="false">
      <c r="A72" s="5"/>
      <c r="B72" s="5"/>
      <c r="C72" s="5"/>
      <c r="D72" s="5"/>
      <c r="E72" s="5"/>
      <c r="F72" s="5"/>
      <c r="G72" s="5"/>
      <c r="H72" s="5"/>
    </row>
    <row r="73" customFormat="false" ht="22.5" hidden="false" customHeight="true" outlineLevel="0" collapsed="false">
      <c r="A73" s="5"/>
      <c r="B73" s="5"/>
      <c r="C73" s="5"/>
      <c r="D73" s="5"/>
      <c r="E73" s="5"/>
      <c r="F73" s="5"/>
      <c r="G73" s="5"/>
      <c r="H73" s="5"/>
    </row>
    <row r="75" customFormat="false" ht="22.5" hidden="false" customHeight="true" outlineLevel="0" collapsed="false">
      <c r="A75" s="5" t="s">
        <v>184</v>
      </c>
      <c r="B75" s="5"/>
      <c r="C75" s="5"/>
      <c r="D75" s="5"/>
      <c r="E75" s="5"/>
      <c r="F75" s="5"/>
      <c r="G75" s="5"/>
      <c r="H75" s="5"/>
    </row>
    <row r="76" customFormat="false" ht="22.5" hidden="false" customHeight="true" outlineLevel="0" collapsed="false">
      <c r="A76" s="5"/>
      <c r="B76" s="5"/>
      <c r="C76" s="5"/>
      <c r="D76" s="5"/>
      <c r="E76" s="5"/>
      <c r="F76" s="5"/>
      <c r="G76" s="5"/>
      <c r="H76" s="5"/>
    </row>
    <row r="77" customFormat="false" ht="22.5" hidden="false" customHeight="true" outlineLevel="0" collapsed="false">
      <c r="A77" s="5"/>
      <c r="B77" s="5"/>
      <c r="C77" s="5"/>
      <c r="D77" s="5"/>
      <c r="E77" s="5"/>
      <c r="F77" s="5"/>
      <c r="G77" s="5"/>
      <c r="H77" s="5"/>
    </row>
    <row r="79" customFormat="false" ht="22.5" hidden="false" customHeight="true" outlineLevel="0" collapsed="false">
      <c r="A79" s="5" t="s">
        <v>185</v>
      </c>
      <c r="B79" s="5"/>
      <c r="C79" s="5"/>
      <c r="D79" s="5"/>
      <c r="E79" s="5"/>
      <c r="F79" s="5"/>
      <c r="G79" s="5"/>
      <c r="H79" s="5"/>
    </row>
    <row r="80" customFormat="false" ht="22.5" hidden="false" customHeight="true" outlineLevel="0" collapsed="false">
      <c r="A80" s="5"/>
      <c r="B80" s="5"/>
      <c r="C80" s="5"/>
      <c r="D80" s="5"/>
      <c r="E80" s="5"/>
      <c r="F80" s="5"/>
      <c r="G80" s="5"/>
      <c r="H80" s="5"/>
    </row>
    <row r="81" customFormat="false" ht="22.5" hidden="false" customHeight="true" outlineLevel="0" collapsed="false">
      <c r="A81" s="5"/>
      <c r="B81" s="5"/>
      <c r="C81" s="5"/>
      <c r="D81" s="5"/>
      <c r="E81" s="5"/>
      <c r="F81" s="5"/>
      <c r="G81" s="5"/>
      <c r="H81" s="5"/>
    </row>
    <row r="83" customFormat="false" ht="22.5" hidden="false" customHeight="true" outlineLevel="0" collapsed="false">
      <c r="A83" s="5" t="s">
        <v>186</v>
      </c>
      <c r="B83" s="5"/>
      <c r="C83" s="5"/>
      <c r="D83" s="5"/>
      <c r="E83" s="5"/>
      <c r="F83" s="5"/>
      <c r="G83" s="5"/>
      <c r="H83" s="5"/>
    </row>
    <row r="84" customFormat="false" ht="22.5" hidden="false" customHeight="true" outlineLevel="0" collapsed="false">
      <c r="A84" s="5"/>
      <c r="B84" s="5"/>
      <c r="C84" s="5"/>
      <c r="D84" s="5"/>
      <c r="E84" s="5"/>
      <c r="F84" s="5"/>
      <c r="G84" s="5"/>
      <c r="H84" s="5"/>
    </row>
    <row r="85" customFormat="false" ht="22.5" hidden="false" customHeight="true" outlineLevel="0" collapsed="false">
      <c r="A85" s="5"/>
      <c r="B85" s="5"/>
      <c r="C85" s="5"/>
      <c r="D85" s="5"/>
      <c r="E85" s="5"/>
      <c r="F85" s="5"/>
      <c r="G85" s="5"/>
      <c r="H85" s="5"/>
    </row>
  </sheetData>
  <mergeCells count="22">
    <mergeCell ref="A1:I2"/>
    <mergeCell ref="A5:H7"/>
    <mergeCell ref="A9:H11"/>
    <mergeCell ref="A13:H15"/>
    <mergeCell ref="A17:H19"/>
    <mergeCell ref="A21:H23"/>
    <mergeCell ref="A25:H27"/>
    <mergeCell ref="A29:H31"/>
    <mergeCell ref="A33:H33"/>
    <mergeCell ref="A35:H37"/>
    <mergeCell ref="A39:H41"/>
    <mergeCell ref="A43:H45"/>
    <mergeCell ref="A47:H49"/>
    <mergeCell ref="A51:H53"/>
    <mergeCell ref="A55:H57"/>
    <mergeCell ref="A59:H61"/>
    <mergeCell ref="A63:H65"/>
    <mergeCell ref="A67:H69"/>
    <mergeCell ref="A71:H73"/>
    <mergeCell ref="A75:H77"/>
    <mergeCell ref="A79:H81"/>
    <mergeCell ref="A83:H85"/>
  </mergeCells>
  <printOptions headings="false" gridLines="false" gridLinesSet="true" horizontalCentered="false" verticalCentered="false"/>
  <pageMargins left="0.3" right="0.3" top="0.4" bottom="0.4" header="0.511811023622047" footer="0.3"/>
  <pageSetup paperSize="9" scale="100" fitToWidth="1" fitToHeight="0" pageOrder="downThenOver" orientation="portrait" blackAndWhite="false" draft="false" cellComments="none" horizontalDpi="300" verticalDpi="300" copies="1"/>
  <headerFooter differentFirst="false" differentOddEven="false">
    <oddHeader/>
    <oddFooter>&amp;Lasx-mlx | Readme&amp;RPage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A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0" t="s">
        <v>187</v>
      </c>
    </row>
    <row r="2" customFormat="false" ht="22.5" hidden="false" customHeight="true" outlineLevel="0" collapsed="false">
      <c r="A2" s="0" t="s">
        <v>188</v>
      </c>
    </row>
    <row r="3" customFormat="false" ht="22.5" hidden="false" customHeight="true" outlineLevel="0" collapsed="false">
      <c r="A3" s="0" t="s">
        <v>189</v>
      </c>
    </row>
    <row r="4" customFormat="false" ht="22.5" hidden="false" customHeight="true" outlineLevel="0" collapsed="false">
      <c r="A4" s="0" t="s">
        <v>190</v>
      </c>
    </row>
    <row r="5" customFormat="false" ht="22.5" hidden="false" customHeight="true" outlineLevel="0" collapsed="false">
      <c r="A5" s="0" t="s">
        <v>191</v>
      </c>
    </row>
    <row r="6" customFormat="false" ht="22.5" hidden="false" customHeight="true" outlineLevel="0" collapsed="false">
      <c r="A6" s="0" t="s">
        <v>192</v>
      </c>
    </row>
    <row r="7" customFormat="false" ht="22.5" hidden="false" customHeight="true" outlineLevel="0" collapsed="false">
      <c r="A7" s="0" t="s">
        <v>193</v>
      </c>
    </row>
  </sheetData>
  <printOptions headings="false" gridLines="false" gridLinesSet="true" horizontalCentered="false" verticalCentered="false"/>
  <pageMargins left="0.3" right="0.3" top="0.4" bottom="0.4"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&amp;Lasx-mlx | _Model&amp;RPage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2026-09-20T03:06:47Z</dcterms:created>
  <dc:creator>Investing Research</dc:creator>
  <dc:description/>
  <dc:language>en-US</dc:language>
  <cp:lastModifiedBy>Investing Research</cp:lastModifiedBy>
  <dcterms:modified xsi:type="dcterms:W3CDTF">2026-09-20T03:06:50Z</dcterms:modified>
  <cp:revision>0</cp:revision>
  <dc:subject/>
  <dc:title>asx-mlx | investment model</dc:title>
</cp:coreProperties>
</file>

<file path=docProps/custom.xml><?xml version="1.0" encoding="utf-8"?>
<Properties xmlns="http://schemas.openxmlformats.org/officeDocument/2006/custom-properties" xmlns:vt="http://schemas.openxmlformats.org/officeDocument/2006/docPropsVTypes"/>
</file>