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ear" sheetId="2" state="visible" r:id="rId4"/>
    <sheet name="Base" sheetId="3" state="visible" r:id="rId5"/>
    <sheet name="Bull" sheetId="4" state="visible" r:id="rId6"/>
  </sheets>
  <definedNames>
    <definedName function="false" hidden="false" localSheetId="2" name="_xlnm.Print_Area" vbProcedure="false">Base!$A$1:$C$25</definedName>
    <definedName function="false" hidden="false" localSheetId="1" name="_xlnm.Print_Area" vbProcedure="false">Bear!$A$1:$C$25</definedName>
    <definedName function="false" hidden="false" localSheetId="3" name="_xlnm.Print_Area" vbProcedure="false">Bull!$A$1:$C$25</definedName>
    <definedName function="false" hidden="false" localSheetId="0" name="_xlnm.Print_Area" vbProcedure="false">Readme!$A$1:$H$32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Source: synthetic://demo-financing
Rationale: Deliberately synthetic terms for exercising cash and share schedules
Operating snapshot: companies/demo-mine/models/excel-b8b9a453301a8fff/model.json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<sst xmlns="http://schemas.openxmlformats.org/spreadsheetml/2006/main" count="66" uniqueCount="30">
  <si>
    <t xml:space="preserve">Funding and dilution | demo-mine</t>
  </si>
  <si>
    <t xml:space="preserve">Validation selector</t>
  </si>
  <si>
    <t xml:space="preserve">all</t>
  </si>
  <si>
    <t xml:space="preserve">This is a separate financing overlay linked to an immutable operating model. It is not a complete three-statement model or an adjusted price target.</t>
  </si>
  <si>
    <t xml:space="preserve">Currency: AUD. Figures use absolute currency units. Debt/share inputs inherit the underlying model limitations; issued-share proxies are not verified dilution schedules.</t>
  </si>
  <si>
    <t xml:space="preserve">Interest uses opening debt. All new borrowing, repayment, equity issuance and dividends occur at period end. No interest tax shield, financing fees or intra-period liquidity is assumed.</t>
  </si>
  <si>
    <t xml:space="preserve">No automatic equity raise is invented to plug a shortfall. Positive funding gap means the supplied plan does not meet the cash floor. Negative cash is an unresolved financing need.</t>
  </si>
  <si>
    <t xml:space="preserve">Working capital, depreciation, capex and closure are inherited from the operating model. Do not subtract them again. No additional fair-value-per-share calculation is inferred from future financing.</t>
  </si>
  <si>
    <t xml:space="preserve">Edit the sourced funding-plan JSON and rerun funding-review to create a new snapshot. This workbook is a formula audit artifact; direct edits do not synchronize through excel-sync.</t>
  </si>
  <si>
    <t xml:space="preserve">Bear | AUD</t>
  </si>
  <si>
    <t xml:space="preserve">Year</t>
  </si>
  <si>
    <t xml:space="preserve">Opening Cash</t>
  </si>
  <si>
    <t xml:space="preserve">Model Fcf</t>
  </si>
  <si>
    <t xml:space="preserve">Opening Debt</t>
  </si>
  <si>
    <t xml:space="preserve">Interest Rate</t>
  </si>
  <si>
    <t xml:space="preserve">Interest</t>
  </si>
  <si>
    <t xml:space="preserve">Debt Raised</t>
  </si>
  <si>
    <t xml:space="preserve">Debt Repaid</t>
  </si>
  <si>
    <t xml:space="preserve">Equity Raised</t>
  </si>
  <si>
    <t xml:space="preserve">Issue Price</t>
  </si>
  <si>
    <t xml:space="preserve">Dividends</t>
  </si>
  <si>
    <t xml:space="preserve">Closing Cash</t>
  </si>
  <si>
    <t xml:space="preserve">Closing Debt</t>
  </si>
  <si>
    <t xml:space="preserve">Closing Shares</t>
  </si>
  <si>
    <t xml:space="preserve">Minimum Cash</t>
  </si>
  <si>
    <t xml:space="preserve">Funding Gap</t>
  </si>
  <si>
    <t xml:space="preserve">Ownership Dilution</t>
  </si>
  <si>
    <t xml:space="preserve">Initial diluted shares</t>
  </si>
  <si>
    <t xml:space="preserve">Base | AUD</t>
  </si>
  <si>
    <t xml:space="preserve">Bull | AUD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</si>
</sst>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;\(#,##0.00\);\–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D43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A12232"/>
      </font>
      <fill>
        <patternFill>
          <bgColor rgb="FFFCE9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9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D43"/>
      <rgbColor rgb="FF339966"/>
      <rgbColor rgb="FF003300"/>
      <rgbColor rgb="FF333300"/>
      <rgbColor rgb="FFA122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A4" s="0" t="s">
        <v>1</v>
      </c>
      <c r="B4" s="0" t="s">
        <v>2</v>
      </c>
    </row>
    <row r="6" customFormat="false" ht="1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10" customFormat="false" ht="15" hidden="false" customHeight="true" outlineLevel="0" collapsed="false">
      <c r="A10" s="2" t="s">
        <v>4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4" customFormat="false" ht="15" hidden="false" customHeight="true" outlineLevel="0" collapsed="false">
      <c r="A14" s="2" t="s">
        <v>5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8" customFormat="false" ht="15" hidden="false" customHeight="true" outlineLevel="0" collapsed="false">
      <c r="A18" s="2" t="s">
        <v>6</v>
      </c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2" customFormat="false" ht="15" hidden="false" customHeight="true" outlineLevel="0" collapsed="false">
      <c r="A22" s="2" t="s">
        <v>7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6" customFormat="false" ht="15" hidden="false" customHeight="true" outlineLevel="0" collapsed="false">
      <c r="A26" s="2" t="s">
        <v>8</v>
      </c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</sheetData>
  <mergeCells count="7">
    <mergeCell ref="A1:H2"/>
    <mergeCell ref="A6:H8"/>
    <mergeCell ref="A10:H12"/>
    <mergeCell ref="A14:H16"/>
    <mergeCell ref="A18:H20"/>
    <mergeCell ref="A22:H24"/>
    <mergeCell ref="A26:H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71"/>
    <col collapsed="false" customWidth="true" hidden="false" outlineLevel="0" max="3" min="2" style="0" width="20.71"/>
  </cols>
  <sheetData>
    <row r="1" customFormat="false" ht="15" hidden="false" customHeight="false" outlineLevel="0" collapsed="false">
      <c r="A1" s="1" t="s">
        <v>9</v>
      </c>
      <c r="B1" s="1"/>
      <c r="C1" s="1"/>
    </row>
    <row r="2" customFormat="false" ht="15" hidden="false" customHeight="false" outlineLevel="0" collapsed="false">
      <c r="A2" s="1"/>
      <c r="B2" s="1"/>
      <c r="C2" s="1"/>
    </row>
    <row r="5" customFormat="false" ht="15" hidden="false" customHeight="false" outlineLevel="0" collapsed="false">
      <c r="A5" s="3" t="s">
        <v>10</v>
      </c>
      <c r="B5" s="4" t="n">
        <v>2027</v>
      </c>
      <c r="C5" s="4" t="n">
        <v>2028</v>
      </c>
    </row>
    <row r="6" customFormat="false" ht="15" hidden="false" customHeight="false" outlineLevel="0" collapsed="false">
      <c r="A6" s="3" t="s">
        <v>11</v>
      </c>
      <c r="B6" s="5" t="n">
        <v>120</v>
      </c>
      <c r="C6" s="6" t="n">
        <f aca="false">B16</f>
        <v>226</v>
      </c>
    </row>
    <row r="7" customFormat="false" ht="15" hidden="false" customHeight="false" outlineLevel="0" collapsed="false">
      <c r="A7" s="3" t="s">
        <v>12</v>
      </c>
      <c r="B7" s="5" t="n">
        <v>100</v>
      </c>
      <c r="C7" s="5" t="n">
        <v>75</v>
      </c>
    </row>
    <row r="8" customFormat="false" ht="15" hidden="false" customHeight="false" outlineLevel="0" collapsed="false">
      <c r="A8" s="3" t="s">
        <v>13</v>
      </c>
      <c r="B8" s="5" t="n">
        <v>20</v>
      </c>
      <c r="C8" s="6" t="n">
        <f aca="false">B17</f>
        <v>19</v>
      </c>
    </row>
    <row r="9" customFormat="false" ht="15" hidden="false" customHeight="false" outlineLevel="0" collapsed="false">
      <c r="A9" s="3" t="s">
        <v>14</v>
      </c>
      <c r="B9" s="7" t="n">
        <v>0.1</v>
      </c>
      <c r="C9" s="7" t="n">
        <v>0.1</v>
      </c>
    </row>
    <row r="10" customFormat="false" ht="15" hidden="false" customHeight="false" outlineLevel="0" collapsed="false">
      <c r="A10" s="3" t="s">
        <v>15</v>
      </c>
      <c r="B10" s="6" t="n">
        <f aca="false">B8*B9</f>
        <v>2</v>
      </c>
      <c r="C10" s="6" t="n">
        <f aca="false">C8*C9</f>
        <v>1.9</v>
      </c>
    </row>
    <row r="11" customFormat="false" ht="15" hidden="false" customHeight="false" outlineLevel="0" collapsed="false">
      <c r="A11" s="3" t="s">
        <v>16</v>
      </c>
      <c r="B11" s="5" t="n">
        <v>0</v>
      </c>
      <c r="C11" s="5" t="n">
        <v>0</v>
      </c>
    </row>
    <row r="12" customFormat="false" ht="15" hidden="false" customHeight="false" outlineLevel="0" collapsed="false">
      <c r="A12" s="3" t="s">
        <v>17</v>
      </c>
      <c r="B12" s="5" t="n">
        <v>1</v>
      </c>
      <c r="C12" s="5" t="n">
        <v>1</v>
      </c>
    </row>
    <row r="13" customFormat="false" ht="15" hidden="false" customHeight="false" outlineLevel="0" collapsed="false">
      <c r="A13" s="3" t="s">
        <v>18</v>
      </c>
      <c r="B13" s="5" t="n">
        <v>10</v>
      </c>
      <c r="C13" s="5" t="n">
        <v>10</v>
      </c>
    </row>
    <row r="14" customFormat="false" ht="15" hidden="false" customHeight="false" outlineLevel="0" collapsed="false">
      <c r="A14" s="3" t="s">
        <v>19</v>
      </c>
      <c r="B14" s="5" t="n">
        <v>2</v>
      </c>
      <c r="C14" s="5" t="n">
        <v>2</v>
      </c>
    </row>
    <row r="15" customFormat="false" ht="15" hidden="false" customHeight="false" outlineLevel="0" collapsed="false">
      <c r="A15" s="3" t="s">
        <v>20</v>
      </c>
      <c r="B15" s="5" t="n">
        <v>1</v>
      </c>
      <c r="C15" s="5" t="n">
        <v>1</v>
      </c>
    </row>
    <row r="16" customFormat="false" ht="15" hidden="false" customHeight="false" outlineLevel="0" collapsed="false">
      <c r="A16" s="3" t="s">
        <v>21</v>
      </c>
      <c r="B16" s="6" t="n">
        <f aca="false">B6+B7-B10+B11-B12+B13-B15</f>
        <v>226</v>
      </c>
      <c r="C16" s="6" t="n">
        <f aca="false">C6+C7-C10+C11-C12+C13-C15</f>
        <v>307.1</v>
      </c>
    </row>
    <row r="17" customFormat="false" ht="15" hidden="false" customHeight="false" outlineLevel="0" collapsed="false">
      <c r="A17" s="3" t="s">
        <v>22</v>
      </c>
      <c r="B17" s="6" t="n">
        <f aca="false">B8+B11-B12</f>
        <v>19</v>
      </c>
      <c r="C17" s="6" t="n">
        <f aca="false">C8+C11-C12</f>
        <v>18</v>
      </c>
    </row>
    <row r="18" customFormat="false" ht="15" hidden="false" customHeight="false" outlineLevel="0" collapsed="false">
      <c r="A18" s="3" t="s">
        <v>23</v>
      </c>
      <c r="B18" s="6" t="n">
        <f aca="false">$B$24+B13/B14</f>
        <v>105</v>
      </c>
      <c r="C18" s="6" t="n">
        <f aca="false">B18+C13/C14</f>
        <v>110</v>
      </c>
    </row>
    <row r="19" customFormat="false" ht="15" hidden="false" customHeight="false" outlineLevel="0" collapsed="false">
      <c r="A19" s="3" t="s">
        <v>24</v>
      </c>
      <c r="B19" s="5" t="n">
        <v>100</v>
      </c>
      <c r="C19" s="5" t="n">
        <v>100</v>
      </c>
    </row>
    <row r="20" customFormat="false" ht="15" hidden="false" customHeight="false" outlineLevel="0" collapsed="false">
      <c r="A20" s="3" t="s">
        <v>25</v>
      </c>
      <c r="B20" s="6" t="n">
        <f aca="false">MAX(0,B19-B16)</f>
        <v>0</v>
      </c>
      <c r="C20" s="6" t="n">
        <f aca="false">MAX(0,C19-C16)</f>
        <v>0</v>
      </c>
    </row>
    <row r="21" customFormat="false" ht="15" hidden="false" customHeight="false" outlineLevel="0" collapsed="false">
      <c r="A21" s="3" t="s">
        <v>26</v>
      </c>
      <c r="B21" s="8" t="n">
        <f aca="false">1-$B$24/B18</f>
        <v>0.0476190476190477</v>
      </c>
      <c r="C21" s="8" t="n">
        <f aca="false">1-$B$24/C18</f>
        <v>0.0909090909090909</v>
      </c>
    </row>
    <row r="24" customFormat="false" ht="15" hidden="false" customHeight="false" outlineLevel="0" collapsed="false">
      <c r="A24" s="0" t="s">
        <v>27</v>
      </c>
      <c r="B24" s="5" t="n">
        <v>100</v>
      </c>
    </row>
  </sheetData>
  <mergeCells count="1">
    <mergeCell ref="A1:C2"/>
  </mergeCells>
  <conditionalFormatting sqref="B20:C20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71"/>
    <col collapsed="false" customWidth="true" hidden="false" outlineLevel="0" max="3" min="2" style="0" width="20.71"/>
  </cols>
  <sheetData>
    <row r="1" customFormat="false" ht="15" hidden="false" customHeight="false" outlineLevel="0" collapsed="false">
      <c r="A1" s="1" t="s">
        <v>28</v>
      </c>
      <c r="B1" s="1"/>
      <c r="C1" s="1"/>
    </row>
    <row r="2" customFormat="false" ht="15" hidden="false" customHeight="false" outlineLevel="0" collapsed="false">
      <c r="A2" s="1"/>
      <c r="B2" s="1"/>
      <c r="C2" s="1"/>
    </row>
    <row r="5" customFormat="false" ht="15" hidden="false" customHeight="false" outlineLevel="0" collapsed="false">
      <c r="A5" s="3" t="s">
        <v>10</v>
      </c>
      <c r="B5" s="4" t="n">
        <v>2027</v>
      </c>
      <c r="C5" s="4" t="n">
        <v>2028</v>
      </c>
    </row>
    <row r="6" customFormat="false" ht="15" hidden="false" customHeight="false" outlineLevel="0" collapsed="false">
      <c r="A6" s="3" t="s">
        <v>11</v>
      </c>
      <c r="B6" s="5" t="n">
        <v>120</v>
      </c>
      <c r="C6" s="6" t="n">
        <f aca="false">B16</f>
        <v>301</v>
      </c>
    </row>
    <row r="7" customFormat="false" ht="15" hidden="false" customHeight="false" outlineLevel="0" collapsed="false">
      <c r="A7" s="3" t="s">
        <v>12</v>
      </c>
      <c r="B7" s="5" t="n">
        <v>175</v>
      </c>
      <c r="C7" s="5" t="n">
        <v>150</v>
      </c>
    </row>
    <row r="8" customFormat="false" ht="15" hidden="false" customHeight="false" outlineLevel="0" collapsed="false">
      <c r="A8" s="3" t="s">
        <v>13</v>
      </c>
      <c r="B8" s="5" t="n">
        <v>20</v>
      </c>
      <c r="C8" s="6" t="n">
        <f aca="false">B17</f>
        <v>19</v>
      </c>
    </row>
    <row r="9" customFormat="false" ht="15" hidden="false" customHeight="false" outlineLevel="0" collapsed="false">
      <c r="A9" s="3" t="s">
        <v>14</v>
      </c>
      <c r="B9" s="7" t="n">
        <v>0.1</v>
      </c>
      <c r="C9" s="7" t="n">
        <v>0.1</v>
      </c>
    </row>
    <row r="10" customFormat="false" ht="15" hidden="false" customHeight="false" outlineLevel="0" collapsed="false">
      <c r="A10" s="3" t="s">
        <v>15</v>
      </c>
      <c r="B10" s="6" t="n">
        <f aca="false">B8*B9</f>
        <v>2</v>
      </c>
      <c r="C10" s="6" t="n">
        <f aca="false">C8*C9</f>
        <v>1.9</v>
      </c>
    </row>
    <row r="11" customFormat="false" ht="15" hidden="false" customHeight="false" outlineLevel="0" collapsed="false">
      <c r="A11" s="3" t="s">
        <v>16</v>
      </c>
      <c r="B11" s="5" t="n">
        <v>0</v>
      </c>
      <c r="C11" s="5" t="n">
        <v>0</v>
      </c>
    </row>
    <row r="12" customFormat="false" ht="15" hidden="false" customHeight="false" outlineLevel="0" collapsed="false">
      <c r="A12" s="3" t="s">
        <v>17</v>
      </c>
      <c r="B12" s="5" t="n">
        <v>1</v>
      </c>
      <c r="C12" s="5" t="n">
        <v>1</v>
      </c>
    </row>
    <row r="13" customFormat="false" ht="15" hidden="false" customHeight="false" outlineLevel="0" collapsed="false">
      <c r="A13" s="3" t="s">
        <v>18</v>
      </c>
      <c r="B13" s="5" t="n">
        <v>10</v>
      </c>
      <c r="C13" s="5" t="n">
        <v>10</v>
      </c>
    </row>
    <row r="14" customFormat="false" ht="15" hidden="false" customHeight="false" outlineLevel="0" collapsed="false">
      <c r="A14" s="3" t="s">
        <v>19</v>
      </c>
      <c r="B14" s="5" t="n">
        <v>2</v>
      </c>
      <c r="C14" s="5" t="n">
        <v>2</v>
      </c>
    </row>
    <row r="15" customFormat="false" ht="15" hidden="false" customHeight="false" outlineLevel="0" collapsed="false">
      <c r="A15" s="3" t="s">
        <v>20</v>
      </c>
      <c r="B15" s="5" t="n">
        <v>1</v>
      </c>
      <c r="C15" s="5" t="n">
        <v>1</v>
      </c>
    </row>
    <row r="16" customFormat="false" ht="15" hidden="false" customHeight="false" outlineLevel="0" collapsed="false">
      <c r="A16" s="3" t="s">
        <v>21</v>
      </c>
      <c r="B16" s="6" t="n">
        <f aca="false">B6+B7-B10+B11-B12+B13-B15</f>
        <v>301</v>
      </c>
      <c r="C16" s="6" t="n">
        <f aca="false">C6+C7-C10+C11-C12+C13-C15</f>
        <v>457.1</v>
      </c>
    </row>
    <row r="17" customFormat="false" ht="15" hidden="false" customHeight="false" outlineLevel="0" collapsed="false">
      <c r="A17" s="3" t="s">
        <v>22</v>
      </c>
      <c r="B17" s="6" t="n">
        <f aca="false">B8+B11-B12</f>
        <v>19</v>
      </c>
      <c r="C17" s="6" t="n">
        <f aca="false">C8+C11-C12</f>
        <v>18</v>
      </c>
    </row>
    <row r="18" customFormat="false" ht="15" hidden="false" customHeight="false" outlineLevel="0" collapsed="false">
      <c r="A18" s="3" t="s">
        <v>23</v>
      </c>
      <c r="B18" s="6" t="n">
        <f aca="false">$B$24+B13/B14</f>
        <v>105</v>
      </c>
      <c r="C18" s="6" t="n">
        <f aca="false">B18+C13/C14</f>
        <v>110</v>
      </c>
    </row>
    <row r="19" customFormat="false" ht="15" hidden="false" customHeight="false" outlineLevel="0" collapsed="false">
      <c r="A19" s="3" t="s">
        <v>24</v>
      </c>
      <c r="B19" s="5" t="n">
        <v>100</v>
      </c>
      <c r="C19" s="5" t="n">
        <v>100</v>
      </c>
    </row>
    <row r="20" customFormat="false" ht="15" hidden="false" customHeight="false" outlineLevel="0" collapsed="false">
      <c r="A20" s="3" t="s">
        <v>25</v>
      </c>
      <c r="B20" s="6" t="n">
        <f aca="false">MAX(0,B19-B16)</f>
        <v>0</v>
      </c>
      <c r="C20" s="6" t="n">
        <f aca="false">MAX(0,C19-C16)</f>
        <v>0</v>
      </c>
    </row>
    <row r="21" customFormat="false" ht="15" hidden="false" customHeight="false" outlineLevel="0" collapsed="false">
      <c r="A21" s="3" t="s">
        <v>26</v>
      </c>
      <c r="B21" s="8" t="n">
        <f aca="false">1-$B$24/B18</f>
        <v>0.0476190476190477</v>
      </c>
      <c r="C21" s="8" t="n">
        <f aca="false">1-$B$24/C18</f>
        <v>0.0909090909090909</v>
      </c>
    </row>
    <row r="24" customFormat="false" ht="15" hidden="false" customHeight="false" outlineLevel="0" collapsed="false">
      <c r="A24" s="0" t="s">
        <v>27</v>
      </c>
      <c r="B24" s="5" t="n">
        <v>100</v>
      </c>
    </row>
  </sheetData>
  <mergeCells count="1">
    <mergeCell ref="A1:C2"/>
  </mergeCells>
  <conditionalFormatting sqref="B20:C20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71"/>
    <col collapsed="false" customWidth="true" hidden="false" outlineLevel="0" max="3" min="2" style="0" width="20.71"/>
  </cols>
  <sheetData>
    <row r="1" customFormat="false" ht="15" hidden="false" customHeight="false" outlineLevel="0" collapsed="false">
      <c r="A1" s="1" t="s">
        <v>29</v>
      </c>
      <c r="B1" s="1"/>
      <c r="C1" s="1"/>
    </row>
    <row r="2" customFormat="false" ht="15" hidden="false" customHeight="false" outlineLevel="0" collapsed="false">
      <c r="A2" s="1"/>
      <c r="B2" s="1"/>
      <c r="C2" s="1"/>
    </row>
    <row r="5" customFormat="false" ht="15" hidden="false" customHeight="false" outlineLevel="0" collapsed="false">
      <c r="A5" s="3" t="s">
        <v>10</v>
      </c>
      <c r="B5" s="4" t="n">
        <v>2027</v>
      </c>
      <c r="C5" s="4" t="n">
        <v>2028</v>
      </c>
    </row>
    <row r="6" customFormat="false" ht="15" hidden="false" customHeight="false" outlineLevel="0" collapsed="false">
      <c r="A6" s="3" t="s">
        <v>11</v>
      </c>
      <c r="B6" s="5" t="n">
        <v>120</v>
      </c>
      <c r="C6" s="6" t="n">
        <f aca="false">B16</f>
        <v>376</v>
      </c>
    </row>
    <row r="7" customFormat="false" ht="15" hidden="false" customHeight="false" outlineLevel="0" collapsed="false">
      <c r="A7" s="3" t="s">
        <v>12</v>
      </c>
      <c r="B7" s="5" t="n">
        <v>250</v>
      </c>
      <c r="C7" s="5" t="n">
        <v>225</v>
      </c>
    </row>
    <row r="8" customFormat="false" ht="15" hidden="false" customHeight="false" outlineLevel="0" collapsed="false">
      <c r="A8" s="3" t="s">
        <v>13</v>
      </c>
      <c r="B8" s="5" t="n">
        <v>20</v>
      </c>
      <c r="C8" s="6" t="n">
        <f aca="false">B17</f>
        <v>19</v>
      </c>
    </row>
    <row r="9" customFormat="false" ht="15" hidden="false" customHeight="false" outlineLevel="0" collapsed="false">
      <c r="A9" s="3" t="s">
        <v>14</v>
      </c>
      <c r="B9" s="7" t="n">
        <v>0.1</v>
      </c>
      <c r="C9" s="7" t="n">
        <v>0.1</v>
      </c>
    </row>
    <row r="10" customFormat="false" ht="15" hidden="false" customHeight="false" outlineLevel="0" collapsed="false">
      <c r="A10" s="3" t="s">
        <v>15</v>
      </c>
      <c r="B10" s="6" t="n">
        <f aca="false">B8*B9</f>
        <v>2</v>
      </c>
      <c r="C10" s="6" t="n">
        <f aca="false">C8*C9</f>
        <v>1.9</v>
      </c>
    </row>
    <row r="11" customFormat="false" ht="15" hidden="false" customHeight="false" outlineLevel="0" collapsed="false">
      <c r="A11" s="3" t="s">
        <v>16</v>
      </c>
      <c r="B11" s="5" t="n">
        <v>0</v>
      </c>
      <c r="C11" s="5" t="n">
        <v>0</v>
      </c>
    </row>
    <row r="12" customFormat="false" ht="15" hidden="false" customHeight="false" outlineLevel="0" collapsed="false">
      <c r="A12" s="3" t="s">
        <v>17</v>
      </c>
      <c r="B12" s="5" t="n">
        <v>1</v>
      </c>
      <c r="C12" s="5" t="n">
        <v>1</v>
      </c>
    </row>
    <row r="13" customFormat="false" ht="15" hidden="false" customHeight="false" outlineLevel="0" collapsed="false">
      <c r="A13" s="3" t="s">
        <v>18</v>
      </c>
      <c r="B13" s="5" t="n">
        <v>10</v>
      </c>
      <c r="C13" s="5" t="n">
        <v>10</v>
      </c>
    </row>
    <row r="14" customFormat="false" ht="15" hidden="false" customHeight="false" outlineLevel="0" collapsed="false">
      <c r="A14" s="3" t="s">
        <v>19</v>
      </c>
      <c r="B14" s="5" t="n">
        <v>2</v>
      </c>
      <c r="C14" s="5" t="n">
        <v>2</v>
      </c>
    </row>
    <row r="15" customFormat="false" ht="15" hidden="false" customHeight="false" outlineLevel="0" collapsed="false">
      <c r="A15" s="3" t="s">
        <v>20</v>
      </c>
      <c r="B15" s="5" t="n">
        <v>1</v>
      </c>
      <c r="C15" s="5" t="n">
        <v>1</v>
      </c>
    </row>
    <row r="16" customFormat="false" ht="15" hidden="false" customHeight="false" outlineLevel="0" collapsed="false">
      <c r="A16" s="3" t="s">
        <v>21</v>
      </c>
      <c r="B16" s="6" t="n">
        <f aca="false">B6+B7-B10+B11-B12+B13-B15</f>
        <v>376</v>
      </c>
      <c r="C16" s="6" t="n">
        <f aca="false">C6+C7-C10+C11-C12+C13-C15</f>
        <v>607.1</v>
      </c>
    </row>
    <row r="17" customFormat="false" ht="15" hidden="false" customHeight="false" outlineLevel="0" collapsed="false">
      <c r="A17" s="3" t="s">
        <v>22</v>
      </c>
      <c r="B17" s="6" t="n">
        <f aca="false">B8+B11-B12</f>
        <v>19</v>
      </c>
      <c r="C17" s="6" t="n">
        <f aca="false">C8+C11-C12</f>
        <v>18</v>
      </c>
    </row>
    <row r="18" customFormat="false" ht="15" hidden="false" customHeight="false" outlineLevel="0" collapsed="false">
      <c r="A18" s="3" t="s">
        <v>23</v>
      </c>
      <c r="B18" s="6" t="n">
        <f aca="false">$B$24+B13/B14</f>
        <v>105</v>
      </c>
      <c r="C18" s="6" t="n">
        <f aca="false">B18+C13/C14</f>
        <v>110</v>
      </c>
    </row>
    <row r="19" customFormat="false" ht="15" hidden="false" customHeight="false" outlineLevel="0" collapsed="false">
      <c r="A19" s="3" t="s">
        <v>24</v>
      </c>
      <c r="B19" s="5" t="n">
        <v>100</v>
      </c>
      <c r="C19" s="5" t="n">
        <v>100</v>
      </c>
    </row>
    <row r="20" customFormat="false" ht="15" hidden="false" customHeight="false" outlineLevel="0" collapsed="false">
      <c r="A20" s="3" t="s">
        <v>25</v>
      </c>
      <c r="B20" s="6" t="n">
        <f aca="false">MAX(0,B19-B16)</f>
        <v>0</v>
      </c>
      <c r="C20" s="6" t="n">
        <f aca="false">MAX(0,C19-C16)</f>
        <v>0</v>
      </c>
    </row>
    <row r="21" customFormat="false" ht="15" hidden="false" customHeight="false" outlineLevel="0" collapsed="false">
      <c r="A21" s="3" t="s">
        <v>26</v>
      </c>
      <c r="B21" s="8" t="n">
        <f aca="false">1-$B$24/B18</f>
        <v>0.0476190476190477</v>
      </c>
      <c r="C21" s="8" t="n">
        <f aca="false">1-$B$24/C18</f>
        <v>0.0909090909090909</v>
      </c>
    </row>
    <row r="24" customFormat="false" ht="15" hidden="false" customHeight="false" outlineLevel="0" collapsed="false">
      <c r="A24" s="0" t="s">
        <v>27</v>
      </c>
      <c r="B24" s="5" t="n">
        <v>100</v>
      </c>
    </row>
  </sheetData>
  <mergeCells count="1">
    <mergeCell ref="A1:C2"/>
  </mergeCells>
  <conditionalFormatting sqref="B20:C20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2026-09-20T03:42:09Z</dcterms:created>
  <dc:creator/>
  <dc:description/>
  <dc:language>en-US</dc:language>
  <cp:lastModifiedBy/>
  <dcterms:modified xsi:type="dcterms:W3CDTF">2026-09-20T03:42:09Z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