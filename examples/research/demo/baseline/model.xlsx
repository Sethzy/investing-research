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Historical" sheetId="3" state="visible" r:id="rId5"/>
    <sheet name="Operating" sheetId="4" state="visible" r:id="rId6"/>
    <sheet name="Valuation" sheetId="5" state="visible" r:id="rId7"/>
    <sheet name="Sensitivities" sheetId="6" state="visible" r:id="rId8"/>
    <sheet name="Checks" sheetId="7" state="visible" r:id="rId9"/>
    <sheet name="Readme" sheetId="8" state="visible" r:id="rId10"/>
    <sheet name="_Model" sheetId="9" state="hidden" r:id="rId11"/>
  </sheets>
  <definedNames>
    <definedName function="false" hidden="false" localSheetId="1" name="_xlnm.Print_Area" vbProcedure="false">Assumptions!$A$1:$F$74</definedName>
    <definedName function="false" hidden="false" localSheetId="6" name="_xlnm.Print_Area" vbProcedure="false">Checks!$A$1:$F$46</definedName>
    <definedName function="false" hidden="false" localSheetId="2" name="_xlnm.Print_Area" vbProcedure="false">Historical!$A$1:$I$9</definedName>
    <definedName function="false" hidden="false" localSheetId="2" name="_xlnm.Print_Titles" vbProcedure="false">Historical!$1:$6</definedName>
    <definedName function="false" hidden="true" localSheetId="2" name="_xlnm._FilterDatabase" vbProcedure="false">Historical!$A$6:$I$7</definedName>
    <definedName function="false" hidden="false" localSheetId="3" name="_xlnm.Print_Area" vbProcedure="false">Operating!$A$1:$F$36</definedName>
    <definedName function="false" hidden="false" localSheetId="7" name="_xlnm.Print_Area" vbProcedure="false">Readme!$A$1:$H$37</definedName>
    <definedName function="false" hidden="false" localSheetId="5" name="_xlnm.Print_Area" vbProcedure="false">Sensitivities!$A$1:$F$46</definedName>
    <definedName function="false" hidden="false" localSheetId="0" name="_xlnm.Print_Area" vbProcedure="false">Summary!$A$1:$I$36</definedName>
    <definedName function="false" hidden="false" localSheetId="4" name="_xlnm.Print_Area" vbProcedure="false">Valuation!$A$1:$F$46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7"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8"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9"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10" authorId="0">
      <text>
        <r>
          <rPr>
            <sz val="10"/>
            <rFont val="Arial"/>
            <family val="2"/>
          </rPr>
          <t xml:space="preserve">unit: shares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11" authorId="0">
      <text>
        <r>
          <rPr>
            <sz val="10"/>
            <rFont val="Arial"/>
            <family val="2"/>
          </rPr>
          <t xml:space="preserve">unit: AUD/share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1"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3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4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4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5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5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6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5"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6"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7"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8"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5"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4"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5"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6"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7"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3"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4"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5"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6"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7"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9"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5"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6"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7"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8"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5"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4"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5"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6"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7"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3"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4"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5"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6"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7"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9"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List>
</comments>
</file>

<file path=xl/sharedStrings.xml><?xml version="1.0" encoding="utf-8"?>
<sst xmlns="http://schemas.openxmlformats.org/spreadsheetml/2006/main" count="223" uniqueCount="116">
  <si>
    <t xml:space="preserve">demo-mine  /  Summary</t>
  </si>
  <si>
    <t xml:space="preserve">SYNTHETIC EXAMPLE</t>
  </si>
  <si>
    <t xml:space="preserve">Active scenario</t>
  </si>
  <si>
    <t xml:space="preserve">Model value per share</t>
  </si>
  <si>
    <t xml:space="preserve">Equity value</t>
  </si>
  <si>
    <t xml:space="preserve">Minimum illustrative cash</t>
  </si>
  <si>
    <t xml:space="preserve">Markdown is the main research narrative. Use this workbook to inspect and edit detailed assumptions; recalculate in Excel or LibreOffice, save, then import to publish a validated snapshot back to the research memo.</t>
  </si>
  <si>
    <t xml:space="preserve">Known limitations:  See Readme for the full limitations register.</t>
  </si>
  <si>
    <t xml:space="preserve">demo-mine  /  Assumptions</t>
  </si>
  <si>
    <t xml:space="preserve">base</t>
  </si>
  <si>
    <t xml:space="preserve">Blue = editable inputs • Green = cross-sheet links • Black = calculations</t>
  </si>
  <si>
    <t xml:space="preserve">Cash</t>
  </si>
  <si>
    <t xml:space="preserve">AUD</t>
  </si>
  <si>
    <t xml:space="preserve">Debt</t>
  </si>
  <si>
    <t xml:space="preserve">Other Assets</t>
  </si>
  <si>
    <t xml:space="preserve">Diluted Shares</t>
  </si>
  <si>
    <t xml:space="preserve">shares</t>
  </si>
  <si>
    <t xml:space="preserve">Reference Price</t>
  </si>
  <si>
    <t xml:space="preserve">AUD/share</t>
  </si>
  <si>
    <t xml:space="preserve">Valuation Date</t>
  </si>
  <si>
    <t xml:space="preserve">2026-09-20</t>
  </si>
  <si>
    <t xml:space="preserve">YYYY-MM-DD</t>
  </si>
  <si>
    <t xml:space="preserve">Quote Date</t>
  </si>
  <si>
    <t xml:space="preserve">2026-09-18</t>
  </si>
  <si>
    <t xml:space="preserve">Enter dates as YYYY-MM-DD text. Blank quote and reference price mean no market comparison. Preserve the declared ownership basis; attributable inputs require ownership = 100%.</t>
  </si>
  <si>
    <t xml:space="preserve">BEAR / whole_operation</t>
  </si>
  <si>
    <t xml:space="preserve">Discount Rate</t>
  </si>
  <si>
    <t xml:space="preserve">Ownership</t>
  </si>
  <si>
    <t xml:space="preserve">Residual Value</t>
  </si>
  <si>
    <t xml:space="preserve">Explicit forecast periods</t>
  </si>
  <si>
    <t xml:space="preserve">Payable Tonnes</t>
  </si>
  <si>
    <t xml:space="preserve">tonnes</t>
  </si>
  <si>
    <t xml:space="preserve">Price</t>
  </si>
  <si>
    <t xml:space="preserve">USD/tonne</t>
  </si>
  <si>
    <t xml:space="preserve">Fx</t>
  </si>
  <si>
    <t xml:space="preserve">AUD/USD</t>
  </si>
  <si>
    <t xml:space="preserve">Unit Cost</t>
  </si>
  <si>
    <t xml:space="preserve">AUD/tonne</t>
  </si>
  <si>
    <t xml:space="preserve">Royalty Rate</t>
  </si>
  <si>
    <t xml:space="preserve">fraction</t>
  </si>
  <si>
    <t xml:space="preserve">Tax Rate</t>
  </si>
  <si>
    <t xml:space="preserve">Depreciation</t>
  </si>
  <si>
    <t xml:space="preserve">Capex</t>
  </si>
  <si>
    <t xml:space="preserve">Working Capital Change</t>
  </si>
  <si>
    <t xml:space="preserve">Closure</t>
  </si>
  <si>
    <t xml:space="preserve">Corporate Cost</t>
  </si>
  <si>
    <t xml:space="preserve">BASE / whole_operation</t>
  </si>
  <si>
    <t xml:space="preserve">BULL / whole_operation</t>
  </si>
  <si>
    <t xml:space="preserve">demo-mine  /  Historical</t>
  </si>
  <si>
    <t xml:space="preserve">Source-linked reported facts. Historical coverage may be incomplete; no integrated statements are inferred.</t>
  </si>
  <si>
    <t xml:space="preserve">Metric</t>
  </si>
  <si>
    <t xml:space="preserve">Period</t>
  </si>
  <si>
    <t xml:space="preserve">Value</t>
  </si>
  <si>
    <t xml:space="preserve">Unit</t>
  </si>
  <si>
    <t xml:space="preserve">Currency</t>
  </si>
  <si>
    <t xml:space="preserve">Basis / ownership</t>
  </si>
  <si>
    <t xml:space="preserve">Published</t>
  </si>
  <si>
    <t xml:space="preserve">Source</t>
  </si>
  <si>
    <t xml:space="preserve">Page</t>
  </si>
  <si>
    <t xml:space="preserve">demo-mine  /  Operating</t>
  </si>
  <si>
    <t xml:space="preserve">Horizon</t>
  </si>
  <si>
    <t xml:space="preserve">Volume basis</t>
  </si>
  <si>
    <t xml:space="preserve">Annual end-of-period forecast</t>
  </si>
  <si>
    <t xml:space="preserve">Volume (see case basis)</t>
  </si>
  <si>
    <t xml:space="preserve">see case input units</t>
  </si>
  <si>
    <t xml:space="preserve">Revenue</t>
  </si>
  <si>
    <t xml:space="preserve">Operating Cost</t>
  </si>
  <si>
    <t xml:space="preserve">Royalties</t>
  </si>
  <si>
    <t xml:space="preserve">Ebit</t>
  </si>
  <si>
    <t xml:space="preserve">Tax</t>
  </si>
  <si>
    <t xml:space="preserve">Nopat</t>
  </si>
  <si>
    <t xml:space="preserve">Operating Fcf</t>
  </si>
  <si>
    <t xml:space="preserve">Fcf</t>
  </si>
  <si>
    <t xml:space="preserve">Present Value</t>
  </si>
  <si>
    <t xml:space="preserve">Illustrative Cash</t>
  </si>
  <si>
    <t xml:space="preserve">Illustrative cash excludes financing, dividends and debt maturities. This is a finite cash-flow schedule, not an integrated three-statement forecast. No terminal perpetuity is assumed.</t>
  </si>
  <si>
    <t xml:space="preserve">demo-mine  /  Valuation</t>
  </si>
  <si>
    <t xml:space="preserve">Enterprise Value</t>
  </si>
  <si>
    <t xml:space="preserve">Equity Value</t>
  </si>
  <si>
    <t xml:space="preserve">Per Share</t>
  </si>
  <si>
    <t xml:space="preserve">Minimum Illustrative Cash</t>
  </si>
  <si>
    <t xml:space="preserve">Reference price</t>
  </si>
  <si>
    <t xml:space="preserve">Model / reference price − 1</t>
  </si>
  <si>
    <t xml:space="preserve">This is a model output, not a price target or investment recommendation. Corporate costs and residual value are company-attributable; operating cash flows apply ownership once. Residual value is explicit, not a perpetuity.</t>
  </si>
  <si>
    <t xml:space="preserve">demo-mine  /  Sensitivities</t>
  </si>
  <si>
    <t xml:space="preserve">Price multiplier × discount rate / AUD per share. All active-case forecast years recomputed, including positive-EBIT tax floor.</t>
  </si>
  <si>
    <t xml:space="preserve">Auditable discounted-cash-flow helpers</t>
  </si>
  <si>
    <t xml:space="preserve">Driver 0.8× / rate column 1</t>
  </si>
  <si>
    <t xml:space="preserve">Driver 0.8× / rate column 2</t>
  </si>
  <si>
    <t xml:space="preserve">Driver 0.8× / rate column 3</t>
  </si>
  <si>
    <t xml:space="preserve">Driver 1.0× / rate column 1</t>
  </si>
  <si>
    <t xml:space="preserve">Driver 1.0× / rate column 2</t>
  </si>
  <si>
    <t xml:space="preserve">Driver 1.0× / rate column 3</t>
  </si>
  <si>
    <t xml:space="preserve">Driver 1.2× / rate column 1</t>
  </si>
  <si>
    <t xml:space="preserve">Driver 1.2× / rate column 2</t>
  </si>
  <si>
    <t xml:space="preserve">Driver 1.2× / rate column 3</t>
  </si>
  <si>
    <t xml:space="preserve">demo-mine  /  Checks</t>
  </si>
  <si>
    <t xml:space="preserve">Valid active scenario</t>
  </si>
  <si>
    <t xml:space="preserve">Positive diluted shares</t>
  </si>
  <si>
    <t xml:space="preserve">Equity bridge reconciliation</t>
  </si>
  <si>
    <t xml:space="preserve">Central sensitivity reconciliation</t>
  </si>
  <si>
    <t xml:space="preserve">Reference quote pair</t>
  </si>
  <si>
    <t xml:space="preserve">Ownership range</t>
  </si>
  <si>
    <t xml:space="preserve">Workbook checks are structural, not evidence approval. Import validates all scenarios, declared units, formula integrity and financial constraints independently. Any formula changes require a new model design review.</t>
  </si>
  <si>
    <t xml:space="preserve">demo-mine  /  Readme</t>
  </si>
  <si>
    <t xml:space="preserve">WORKFLOW | Read the Markdown memo first. Excel is the editable detailed model. Change blue assumptions, recalculate, save and import to create a new validated research snapshot. Existing snapshots remain immutable.</t>
  </si>
  <si>
    <t xml:space="preserve">MODEL | One active scenario drives all formulas. Select bear/base/bull in Assumptions!B4. Forecast horizons are fixed by the source model; shorter cases have zero inputs after their final period.</t>
  </si>
  <si>
    <t xml:space="preserve">UNITS | Calculations use absolute currency amounts, not millions. Input provenance comments identify unit, source, author and rationale. Historical rows retain original reported units; normalize before using them in assumptions.</t>
  </si>
  <si>
    <t xml:space="preserve">OWNERSHIP | Whole-operation cash flow is multiplied by ownership once. Corporate costs and residual value are company-attributable. Cash, debt and other assets are added at company level.</t>
  </si>
  <si>
    <t xml:space="preserve">METHOD | Annual end-period discounting; explicit residual only. Positive EBIT tax floor; no deferred tax or loss carryforwards. Cash excludes debt repayment, funding and dividends. This is not an integrated income statement, balance sheet and cash-flow forecast.</t>
  </si>
  <si>
    <t xml:space="preserve">EDITING | Blue inputs are editable. Green formulas link sheets. Black formulas calculate locally. Keep formulas and metadata intact. Synchronization records changed inputs as analyst overrides. Explain their source and rationale in the research memo; formula edits are rejected.</t>
  </si>
  <si>
    <t xml:space="preserve">EVIDENCE | A professional workbook layout does not upgrade uncertain evidence. Missing current quotes, mine-life support, payable sales or capital structure remain research gaps. Model values are not recommendations.</t>
  </si>
  <si>
    <t xml:space="preserve">KNOWN LIMITATIONS</t>
  </si>
  <si>
    <t xml:space="preserve">investing-excel-v1</t>
  </si>
  <si>
    <t xml:space="preserve">{"schema_version":1,"baseline":{"company_id":"demo-mine","model_type":"finite_mine","currency":"AUD","valuation_date":"2026-09-20","quote_date":"2026-09-18","cash":100,"debt":20.0,"other_assets":0.0,"diluted_shares":100.0,"reference_price":2.0,"synthetic":true,"historical":[],"scenarios":{"bear":{"discount_rate":0.1,"ownership":0.5,"ownership_basis":"whole_operation","residual_value":0.0,"years":[{"year":2027,"payable_tonnes":10.0,"price":80.0,"price_currency":"USD","fx":1.0,"unit_cost":40.0,"royalty_rate":0.0,"tax_rate":0.25,"depreciation":0.0,"capex":100.0,"working_capital_change":0.0,"closure":0.0,"corporate_cost":0.0},{"year":2028,"payable_tonnes":10.0,"price":80.0,"price_currency":"USD","fx":1.0,"unit_cost":40.0,"royalty_rate":0.0,"tax_rate":0.25,"depreciation":0.0,"capex":100.0,"working_capital_change":0.0,"closure":50.0,"corporate_cost":0.0}]},"base":{"discount_rate":0.1,"ownership":0.5,"ownership_basis":"whole_operation","residual_value":0.0,"years":[{"year":2027,"payable_tonnes":10.0,"price":100.0,"price_currency":"USD","fx":1.0,"unit_cost":40.0,"royalty_rate":0.0,"tax_rate":0.25,"depreciation":0.0,"capex":100.0,"working_capital_change":0.0,"closure":0.0,"corporate_cost":0.0},{"year":2028,"payable_tonnes":10.0,"price":100.0,"price_currency":"USD","fx":1.0,"unit_cost":40.0,"royalty_rate":0.0,"tax_rate":0.25,"depreciation":0.0,"capex":100.0,"working_capital_change":0.0,"closure":50.0,"corporate_cost":0.0}]},"bull":{"discount_rate":0.1,"ownership":0.5,"ownership_basis":"whole_operation","residual_value":0.0,"years":[{"year":2027,"payable_tonnes":10.0,"price":120.0,"price_currency":"USD","fx":1.0,"unit_cost":40.0,"royalty_rate":0.0,"tax_rate":0.25,"depreciation":0.0,"capex":100.0,"working_capital_change":0.0,"closure":0.0,"corporate_cost":0.0},{"year":2028,"payable_tonnes":10.0,"price":120.0,"price_currency":"USD","fx":1.0,"unit_cost":40.0,"royalty_rate":0.0,"tax_rate":0.25,"depreciation":0.0,"capex":100.0,"working_capital_change":0.0,"closure":50.0,"corporate_cost":0.0}]}},"provenance":{"/cash":{"unit":"AUD","rationale":"Synthetic teaching fixture; not reported company data","author":"example fixture","source":"synthetic://example"},"/debt":{"unit":"AUD","rationale":"Synthetic teaching fixture; not reported company data","author":"example fixture","source":"synthetic://example"},"/other_assets":{"unit":"AUD","rationale":"Synthetic teaching fixture; not reported company data","author":"example fixture","source":"synthetic://example"},"/diluted_shares":{"unit":"shares","rationale":"Synthetic teaching fixture; not reported company data","author":"example fixture","source":"synthetic://example"},"/reference_price":{"unit":"AUD/share","rationale":"Synthetic teaching fixture; not reported company data","author":"example fixture","source":"synthetic://example"},"/scenarios/bear/discount_rate":{"unit":"fraction","rationale":"Synthetic teaching fixture; not reported company data","author":"example fixture","source":"synthetic://example"},"/scenarios/bear/ownership":{"unit":"fraction","rationale":"Synthetic teaching fixture; not reported company data","author":"example fixture","source":"synthetic://example"},"/scenarios/bear/residual_value":{"unit":"AUD","rationale":"Synthetic teaching fixture; not reported company data","author":"example fixture","source":"synthetic://example"},"/scenarios/bear/years/0/payable_tonnes":{"unit":"tonnes","rationale":"Synthetic teaching fixture; not reported company data","author":"example fixture","source":"synthetic://example"},"/scenarios/bear/years/0/price":{"unit":"USD/tonne","rationale":"Synthetic teaching fixture; not reported company data","author":"example fixture","source":"synthetic://example"},"/scenarios/bear/years/0/fx":{"unit":"AUD/USD","rationale":"Synthetic teaching fixture; not reported company data","author":"example fixture","source":"synthetic://example"},"/scenarios/bear/years/0/unit_cost":{"unit":"AUD/tonne","rationale":"Synthetic teaching fixture; not reported company data","author":"example fixture","source":"synthetic://example"},"/scenarios/bear/years/0/royalty_rate":{"unit":"fraction","rationale":"Synthetic teaching fixture; not reported company data","author":"example fixture","source":"synthetic://example"},"/scenarios/bear/years/0/tax_rate":{"unit":"fraction","rationale":"Synthetic teaching fixture; not reported company data","author":"example fixture","source":"synthetic://example"},"/scenarios/bear/years/0/depreciation":{"unit":"AUD","rationale":"Synthetic teaching fixture; not reported company data","author":"example fixture","source":"synthetic://example"},"/scenarios/bear/years/0/capex":{"unit":"AUD","rationale":"Synthetic teaching fixture; not reported company data","author":"example fixture","source":"synthetic://example"},"/scenarios/bear/years/0/working_capital_change":{"unit":"AUD","rationale":"Synthetic teaching fixture; not reported company data","author":"example fixture","source":"synthetic://example"},"/scenarios/bear/years/0/closure":{"unit":"AUD","rationale":"Synthetic teaching fixture; not reported company data","author":"example fixture","source":"synthetic://example"},"/scenarios/bear/years/0/corporate_cost":{"unit":"AUD","rationale":"Synthetic teaching fixture; not reported company data","author":"example fixture","source":"synthetic://example"},"/scenarios/bear/years/1/payable_tonnes":{"unit":"tonnes","rationale":"Synthetic teaching fixture; not reported company data","author":"example fixture","source":"synthetic://example"},"/scenarios/bear/years/1/price":{"unit":"USD/tonne","rationale":"Synthetic teaching fixture; not reported company data","author":"example fixture","source":"synthetic://example"},"/scenarios/bear/years/1/fx":{"unit":"AUD/USD","rationale":"Synthetic teaching fixture; not reported company data","author":"example fixture","source":"synthetic://example"},"/scenarios/bear/years/1/unit_cost":{"unit":"AUD/tonne","rationale":"Synthetic teaching fixture; not reported company data","author":"example fixture","source":"synthetic://example"},"/scenarios/bear/years/1/royalty_rate":{"unit":"fraction","rationale":"Synthetic teaching fixture; not reported company data","author":"example fixture","source":"synthetic://example"},"/scenarios/bear/years/1/tax_rate":{"unit":"fraction","rationale":"Synthetic teaching fixture; not reported company data","author":"example fixture","source":"synthetic://example"},"/scenarios/bear/years/1/depreciation":{"unit":"AUD","rationale":"Synthetic teaching fixture; not reported company data","author":"example fixture","source":"synthetic://example"},"/scenarios/bear/years/1/capex":{"unit":"AUD","rationale":"Synthetic teaching fixture; not reported company data","author":"example fixture","source":"synthetic://example"},"/scenarios/bear/years/1/working_capital_change":{"unit":"AUD","rationale":"Synthetic teaching fixture; not reported company data","author":"example fixture","source":"synthetic://example"},"/scenarios/bear/years/1/closure":{"unit":"AUD","rationale":"Synthetic teaching fixture; not reported company data","author":"example fixture","source":"synthetic://example"},"/scenarios/bear/years/1/corporate_cost":{"unit":"AUD","rationale":"Synthetic teaching fixture; not reported company data","author":"example fixture","source":"synthetic://example"},"/scenarios/base/discount_rate":{"unit":"fraction","rationale":"Synthetic teaching fixture; not reported company data","author":"example fixture","source":"synthetic://example"},"/scenarios/base/ownership":{"unit":"fraction","rationale":"Synthetic teaching fixture; not reported company data","author":"example fixture","source":"synthetic://example"},"/scenarios/base/residual_value":{"unit":"AUD","rationale":"Synthetic teaching fixture; not reported company data","author":"example fixture","source":"synthetic://example"},"/scenarios/base/years/0/payable_tonnes":{"unit":"tonnes","rationale":"Synthetic teaching fixture; not reported company data","author":"example fixture","source":"synthetic://example"},"/scenarios/base/years/0/price":{"unit":"USD/tonne","rationale":"Synthetic teaching fixture; not reported company data","author":"example fixture","source":"synthetic://example"},"/scenarios/base/years/0/fx":{"unit":"AUD/USD","rationale":"Synthetic teaching fixture; not reported company data","author":"example fixture","source":"synthetic://example"},"/scenarios/base/years/0/unit_cost":{"unit":"AUD/tonne","rationale":"Synthetic teaching fixture; not reported company data","author":"example fixture","source":"synthetic://example"},"/scenarios/base/years/0/royalty_rate":{"unit":"fraction","rationale":"Synthetic teaching fixture; not reported company data","author":"example fixture","source":"synthetic://example"},"/scenarios/base/years/0/tax_rate":{"unit":"fraction","rationale":"Synthetic teaching fixture; not reported company data","author":"example fixture","source":"synthetic://example"},"/scenarios/base/years/0/depreciation":{"unit":"AUD","rationale":"Synthetic teaching fixture; not reported company data","author":"example fixture","source":"synthetic://example"},"/scenarios/base/years/0/capex":{"unit":"AUD","rationale":"Synthetic teaching fixture; not reported company data","author":"example fixture","source":"synthetic://example"},"/scenarios/base/years/0/working_capital_change":{"unit":"AUD","rationale":"Synthetic teaching fixture; not reported company data","author":"example fixture","source":"synthetic://example"},"/scenarios/base/years/0/closure":{"unit":"AUD","rationale":"Synthetic teaching fixture; not reported company data","author":"example fixture","source":"synthetic://example"},"/scenarios/base/years/0/corporate_cost":{"unit":"AUD","rationale":"Synthetic teaching fixture; not reported company data","author":"example fixture","source":"synthetic://example"},"/scenarios/base/years/1/payable_tonnes":{"unit":"tonnes","rationale":"Synthetic teaching fixture; not reported company data","author":"example fixture","source":"synthetic://example"},"/scenarios/base/years/1/price":{"unit":"USD/tonne","rationale":"Synthetic teaching fixture; not reported company data","author":"example fixture","source":"synthetic://example"},"/scenarios/base/years/1/fx":{"unit":"AUD/USD","rationale":"Synthetic teaching fixture; not reported company data","author":"example fixture","source":"synthetic://example"},"/scenarios/base/years/1/unit_cost":{"unit":"AUD/tonne","rationale":"Synthetic teaching fixture; not reported company data","author":"example fixture","source":"synthetic://example"},"/scenarios/base/years/1/royalty_rate":{"unit":"fraction","rationale":"Synthetic teaching fixture; not reported company data","author":"example fixture","source":"synthetic://example"},"/scenarios/base/years/1/tax_rate":{"unit":"fraction","rationale":"Synthetic teaching fixture; not reported company data","author":"example fixture","source":"synthetic://example"},"/scenarios/base/years/1/depreciation":{"unit":"AUD","rationale":"Synthetic teaching fixture; not reported company data","author":"example fixture","source":"synthetic://example"},"/scenarios/base/years/1/capex":{"unit":"AUD","rationale":"Synthetic teaching fixture; not reported company data","author":"example fixture","source":"synthetic://example"},"/scenarios/base/years/1/working_capital_change":{"unit":"AUD","rationale":"Synthetic teaching fixture; not reported company data","author":"example fixture","source":"synthetic://example"},"/scenarios/base/years/1/closure":{"unit":"AUD","rationale":"Synthetic teaching fixture; not reported company data","author":"example fixture","source":"synthetic://example"},"/scenarios/base/years/1/corporate_cost":{"unit":"AUD","rationale":"Synthetic teaching fixture; not reported company data","author":"example fixture","source":"synthetic://example"},"/scenarios/bull/discount_rate":{"unit":"fraction","rationale":"Synthetic teaching fixture; not reported company data","author":"example fixture","source":"synthetic://example"},"/scenarios/bull/ownership":{"unit":"fraction","rationale":"Synthetic teaching fixture; not reported company data","author":"example fixture","source":"synthetic://example"},"/scenarios/bull/residual_value":{"unit":"AUD","rationale":"Synthetic teaching fixture; not reported company data","author":"example fixture","source":"synthetic://example"},"/scenarios/bull/years/0/payable_tonnes":{"unit":"tonnes","rationale":"Synthetic teaching fixture; not reported company data","author":"example fixture","source":"synthetic://example"},"/scenarios/bull/years/0/price":{"unit":"USD/tonne","rationale":"Synthetic teaching fixture; not reported company data","author":"example fixture","source":"synthetic://example"},"/scenarios/bull/years/0/fx":{"unit":"AUD/USD","rationale":"Synthetic teaching fixture; not reported company data","author":"example fixture","source":"synthetic://example"},"/scenarios/bull/years/0/unit_cost":{"unit":"AUD/tonne","rationale":"Synthetic teaching fixture; not reported company data","author":"example fixture","source":"synthetic://example"},"/scenarios/bull/years/0/royalty_rate":{"unit":"fraction","rationale":"Synthetic teaching fixture; not reported company data","author":"example fixture","source":"synthetic://example"},"/scenarios/bull/years/0/tax_rate":{"unit":"fraction","rationale":"Synthetic teaching fixture; not reported company data","author":"example fixture","source":"synthetic://example"},"/scenarios/bull/years/0/depreciation":{"unit":"AUD","rationale":"Synthetic teaching fixture; not reported company data","author":"example fixture","source":"synthetic://example"},"/scenarios/bull/years/0/capex":{"unit":"AUD","rationale":"Synthetic teaching fixture; not reported company data","author":"example fixture","source":"synthetic://example"},"/scenarios/bull/years/0/working_capital_change":{"unit":"AUD","rationale":"Synthetic teaching fixture; not reported company data","author":"example fixture","source":"synthetic://example"},"/scenarios/bull/years/0/closure":{"unit":"AUD","rationale":"Synthetic teaching fixture; not reported company data","author":"example fixture","source":"synthetic://example"},"/scenarios/bull/years/0/corporate_cost":{"unit":"AUD","rationale":"Synthetic teaching fixture; not reported company data","author":"example fixture","source":"synthetic://example"},"/scenarios/bull/years/1/payable_tonnes":{"unit":"tonnes","rationale":"Synthetic teaching fixture; not reported company data","author":"example fixture","source":"synthetic://example"},"/scenarios/bull/years/1/price":{"unit":"USD/tonne","rationale":"Synthetic teaching fixture; not reported company data","author":"example fixture","source":"synthetic://example"},"/scenarios/bull/years/1/fx":{"unit":"AUD/USD","rationale":"Synthetic teaching fixture; not reported company data","author":"example fixture","source":"synthetic://example"},"/scenarios/bull/years/1/unit_cost":{"unit":"AUD/tonne","rationale":"Synthetic teaching fixture; not reported company data","author":"example fixture","source":"synthetic://example"},"/scenarios/bull/years/1/royalty_rate":{"unit":"fraction","rationale":"Synthetic teaching fixture; not reported company data","author":"example fixture","source":"synthetic://example"},"/scenarios/bull/years/1/tax_rate":{"unit":"fraction","rationale":"Synthetic teaching fixture; not reported company data","author":"example fixture","source":"synthetic://example"},"/scenarios/bull/years/1/depreciation":{"unit":"AUD","rationale":"Synthetic teaching fixture; not reported company data","author":"example fixture","source":"synthetic://example"},"/scenarios/bull/years/1/capex":{"unit":"AUD","rationale":"Synthetic teaching fixture; not reported company data","author":"example fixture","source":"synthetic://example"},"/scenarios/bull/years/1/working_capital_change":{"unit":"AUD","rationale":"Synthetic teaching fixture; not reported company data","author":"example fixture","source":"synthetic://example"},"/scenarios/bull/years/1/closure":{"unit":"AUD","rationale":"Synthetic teaching fixture; not reported company data","author":"example fixture","source":"synthetic://example"},"/scenarios/bull/years/1/corporate_cost":{"unit":"AUD","rationale":"Synthetic teaching fixture; not reported company data","author":"example fixture","source":"synthetic://example"}}},"inputs":{"/cash":{"sheet":"Assumptions","cell":"B7"},"/debt":{"sheet":"Assumptions","cell":"B8"},"/other_assets":{"sheet":"Assumptions","cell":"B9"},"/diluted_shares":{"sheet":"Assumptions","cell":"B10"},"/reference_price":{"sheet":"Assumptions","cell":"B11"},"/valuation_date":{"sheet":"Assumptions","cell":"B12"},"/quote_date":{"sheet":"Assumptions","cell":"B13"},"/scenarios/bear/discount_rate":{"sheet":"Assumptions","cell":"B20"},"/scenarios/bear/ownership":{"sheet":"Assumptions","cell":"B21"},"/scenarios/bear/residual_value":{"sheet":"Assumptions","cell":"B22"},"/scenarios/bear/years/0/payable_tonnes":{"sheet":"Assumptions","cell":"C25"},"/scenarios/bear/years/1/payable_tonnes":{"sheet":"Assumptions","cell":"D25"},"/scenarios/bear/years/0/price":{"sheet":"Assumptions","cell":"C26"},"/scenarios/bear/years/1/price":{"sheet":"Assumptions","cell":"D26"},"/scenarios/bear/years/0/fx":{"sheet":"Assumptions","cell":"C27"},"/scenarios/bear/years/1/fx":{"sheet":"Assumptions","cell":"D27"},"/scenarios/bear/years/0/unit_cost":{"sheet":"Assumptions","cell":"C28"},"/scenarios/bear/years/1/unit_cost":{"sheet":"Assumptions","cell":"D28"},"/scenarios/bear/years/0/royalty_rate":{"sheet":"Assumptions","cell":"C29"},"/scenarios/bear/years/1/royalty_rate":{"sheet":"Assumptions","cell":"D29"},"/scenarios/bear/years/0/tax_rate":{"sheet":"Assumptions","cell":"C30"},"/scenarios/bear/years/1/tax_rate":{"sheet":"Assumptions","cell":"D30"},"/scenarios/bear/years/0/depreciation":{"sheet":"Assumptions","cell":"C31"},"/scenarios/bear/years/1/depreciation":{"sheet":"Assumptions","cell":"D31"},"/scenarios/bear/years/0/capex":{"sheet":"Assumptions","cell":"C32"},"/scenarios/bear/years/1/capex":{"sheet":"Assumptions","cell":"D32"},"/scenarios/bear/years/0/working_capital_change":{"sheet":"Assumptions","cell":"C33"},"/scenarios/bear/years/1/working_capital_change":{"sheet":"Assumptions","cell":"D33"},"/scenarios/bear/years/0/closure":{"sheet":"Assumptions","cell":"C34"},"/scenarios/bear/years/1/closure":{"sheet":"Assumptions","cell":"D34"},"/scenarios/bear/years/0/corporate_cost":{"sheet":"Assumptions","cell":"C35"},"/scenarios/bear/years/1/corporate_cost":{"sheet":"Assumptions","cell":"D35"},"/scenarios/base/discount_rate":{"sheet":"Assumptions","cell":"B39"},"/scenarios/base/ownership":{"sheet":"Assumptions","cell":"B40"},"/scenarios/base/residual_value":{"sheet":"Assumptions","cell":"B41"},"/scenarios/base/years/0/payable_tonnes":{"sheet":"Assumptions","cell":"C44"},"/scenarios/base/years/1/payable_tonnes":{"sheet":"Assumptions","cell":"D44"},"/scenarios/base/years/0/price":{"sheet":"Assumptions","cell":"C45"},"/scenarios/base/years/1/price":{"sheet":"Assumptions","cell":"D45"},"/scenarios/base/years/0/fx":{"sheet":"Assumptions","cell":"C46"},"/scenarios/base/years/1/fx":{"sheet":"Assumptions","cell":"D46"},"/scenarios/base/years/0/unit_cost":{"sheet":"Assumptions","cell":"C47"},"/scenarios/base/years/1/unit_cost":{"sheet":"Assumptions","cell":"D47"},"/scenarios/base/years/0/royalty_rate":{"sheet":"Assumptions","cell":"C48"},"/scenarios/base/years/1/royalty_rate":{"sheet":"Assumptions","cell":"D48"},"/scenarios/base/years/0/tax_rate":{"sheet":"Assumptions","cell":"C49"},"/scenarios/base/years/1/tax_rate":{"sheet":"Assumptions","cell":"D49"},"/scenarios/base/years/0/depreciation":{"sheet":"Assumptions","cell":"C50"},"/scenarios/base/years/1/depreciation":{"sheet":"Assumptions","cell":"D50"},"/scenarios/base/years/0/capex":{"sheet":"Assumptions","cell":"C51"},"/scenarios/base/years/1/capex":{"sheet":"Assumptions","cell":"D51"},"/scenarios/base/years/0/working_capital_change":{"sheet":"Assumptions","cell":"C52"},"/scenarios/base/years/1/working_capital_change":{"sheet":"Assumptions","cell":"D52"},"/scenarios/base/years/0/closure":{"sheet":"Assumptions","cell":"C53"},"/scenarios/base/years/1/closure":{"sheet":"Assumptions","cell":"D53"},"/scenarios/base/years/0/corporate_cost":{"sheet":"Assumptions","cell":"C54"},"/scenarios/base/years/1/corporate_cost":{"sheet":"Assumptions","cell":"D54"},"/scenarios/bull/discount_rate":{"sheet":"Assumptions","cell":"B58"},"/scenarios/bull/ownership":{"sheet":"Assumptions","cell":"B59"},"/scenarios/bull/residual_value":{"sheet":"Assumptions","cell":"B60"},"/scenarios/bull/years/0/payable_tonnes":{"sheet":"Assumptions","cell":"C63"},"/scenarios/bull/years/1/payable_tonnes":{"sheet":"Assumptions","cell":"D63"},"/scenarios/bull/years/0/price":{"sheet":"Assumptions","cell":"C64"},"/scenarios/bull/years/1/price":{"sheet":"Assumptions","cell":"D64"},"/scenarios/bull/years/0/fx":{"sheet":"Assumptions","cell":"C65"},"/scenarios/bull/years/1/fx":{"sheet":"Assumptions","cell":"D65"},"/scenarios/bull/years/0/unit_cost":{"sheet":"Assumptions","cell":"C66"},"/scenarios/bull/years/1/unit_cost":{"sheet":"Assumptions","cell":"D66"},"/scenarios/bull/years/0/royalty_rate":{"sheet":"Assumptions","cell":"C67"},"/scenarios/bull/years/1/royalty_rate":{"sheet":"Assumptions","cell":"D67"},"/scenarios/bull/years/0/tax_rate":{"sheet":"Assumptions","cell":"C68"},"/scenarios/bull/years/1/tax_rate":{"sheet":"Assumptions","cell":"D68"},"/scenarios/bull/years/0/depreciation":{"sheet":"Assumptions","cell":"C69"},"/scenarios/bull/years/1/depreciation":{"sheet":"Assumptions","cell":"D69"},"/scenarios/bull/years/0/capex":{"sheet":"Assumptions","cell":"C70"},"/scenarios/bull/years/1/capex":{"sheet":"Assumptions","cell":"D70"},"/scenarios/bull/years/0/working_capital_change":{"sheet":"Assumptions","cell":"C71"},"/scenarios/bull/years/1/working_capital_change":{"sheet":"Assumptions","cell":"D71"},"/scenarios/bull/years/0/closure":{"sheet":"Assumptions","cell":"C72"},"/scenarios/bull/years/1/closure":{"sheet":"Assumptions","cell":"D72"},"/scenarios/bull/years/0/corporate_cost":{"sheet":"Assumptions","cell":"C73"},"/scenarios/bull/years/1/corporate_cost":{"sheet":"Assumptions","cell":"D73"}},"outputs":{"active_case":{"sheet":"Assumptions","cell":"B4"},"years/0/year":{"sheet":"Operating","cell":"C9"},"years/0/revenue":{"sheet":"Operating","cell":"C23"},"years/0/operating_cost":{"sheet":"Operating","cell":"C24"},"years/0/royalties":{"sheet":"Operating","cell":"C25"},"years/0/ebit":{"sheet":"Operating","cell":"C26"},"years/0/tax":{"sheet":"Operating","cell":"C27"},"years/0/nopat":{"sheet":"Operating","cell":"C28"},"years/0/operating_fcf":{"sheet":"Operating","cell":"C29"},"years/0/fcf":{"sheet":"Operating","cell":"C30"},"years/0/present_value":{"sheet":"Operating","cell":"C31"},"years/0/illustrative_cash":{"sheet":"Operating","cell":"C32"},"years/1/year":{"sheet":"Operating","cell":"D9"},"years/1/revenue":{"sheet":"Operating","cell":"D23"},"years/1/operating_cost":{"sheet":"Operating","cell":"D24"},"years/1/royalties":{"sheet":"Operating","cell":"D25"},"years/1/ebit":{"sheet":"Operating","cell":"D26"},"years/1/tax":{"sheet":"Operating","cell":"D27"},"years/1/nopat":{"sheet":"Operating","cell":"D28"},"years/1/operating_fcf":{"sheet":"Operating","cell":"D29"},"years/1/fcf":{"sheet":"Operating","cell":"D30"},"years/1/present_value":{"sheet":"Operating","cell":"D31"},"years/1/illustrative_cash":{"sheet":"Operating","cell":"D32"},"enterprise_value":{"sheet":"Valuation","cell":"B5"},"cash":{"sheet":"Valuation","cell":"B6"},"other_assets":{"sheet":"Valuation","cell":"B7"},"debt":{"sheet":"Valuation","cell":"B8"},"equity_value":{"sheet":"Valuation","cell":"B9"},"diluted_shares":{"sheet":"Valuation","cell":"B10"},"per_share":{"sheet":"Valuation","cell":"B11"},"minimum_illustrative_cash":{"sheet":"Valuation","cell":"B12"},"discount_rate/0":{"sheet":"Sensitivities","cell":"C7"},"discount_rate/1":{"sheet":"Sensitivities","cell":"D7"},"discount_rate/2":{"sheet":"Sensitivities","cell":"E7"},"driver_multiplier/0":{"sheet":"Sensitivities","cell":"B8"},"sensitivity/0/0":{"sheet":"Sensitivities","cell":"C8"},"sensitivity/0/1":{"sheet":"Sensitivities","cell":"D8"},"sensitivity/0/2":{"sheet":"Sensitivities","cell":"E8"},"driver_multiplier/1":{"sheet":"Sensitivities","cell":"B9"},"sensitivity/1/0":{"sheet":"Sensitivities","cell":"C9"},"sensitivity/1/1":{"sheet":"Sensitivities","cell":"D9"},"sensitivity/1/2":{"sheet":"Sensitivities","cell":"E9"},"driver_multiplier/2":{"sheet":"Sensitivities","cell":"B10"},"sensitivity/2/0":{"sheet":"Sensitivities","cell":"C10"},"sensitivity/2/1":{"sheet":"Sensitivities","cell":"D10"},"sensitivity/2/2":{"sheet":"Sensitivities","cell":"E10"},"checks/0":{"sheet":"Checks","cell":"B5"},"checks/1":{"sheet":"Checks","cell":"B6"},"checks/2":{"sheet":"Checks","cell":"B7"},"checks/3":{"sheet":"Checks","cell":"B8"},"checks/4":{"sheet":"Checks","cell":"B9"},"checks/5":{"sheet":"Checks","cell":"B10"}},"formula_cells":{"Operating!B4":"=IF(Assumptions!$B$4=\"bear\",'Assumptions'!$B$20,IF(Assumptions!$B$4=\"base\",'Assumptions'!$B$39,'Assumptions'!$B$58))","Operating!B5":"=IF(Assumptions!$B$4=\"bear\",'Assumptions'!$B$21,IF(Assumptions!$B$4=\"base\",'Assumptions'!$B$40,'Assumptions'!$B$59))","Operating!B6":"=IF(Assumptions!$B$4=\"bear\",'Assumptions'!$B$22,IF(Assumptions!$B$4=\"base\",'Assumptions'!$B$41,'Assumptions'!$B$60))","Operating!B7":"=IF(Assumptions!$B$4=\"bear\",'Assumptions'!$B$23,IF(Assumptions!$B$4=\"base\",'Assumptions'!$B$42,'Assumptions'!$B$61))","Operating!B8":"=IF(Assumptions!$B$4=\"bear\",\"payable_sales\",IF(Assumptions!$B$4=\"base\",\"payable_sales\",\"payable_sales\"))","Operating!C9":"=YEAR(DATEVALUE('Assumptions'!$B$12))+1","Operating!C10":"=IF(Assumptions!$B$4=\"bear\",'Assumptions'!$C$25,IF(Assumptions!$B$4=\"base\",'Assumptions'!$C$44,'Assumptions'!$C$63))","Operating!C11":"=IF(Assumptions!$B$4=\"bear\",'Assumptions'!$C$26,IF(Assumptions!$B$4=\"base\",'Assumptions'!$C$45,'Assumptions'!$C$64))","Operating!C12":"=IF(Assumptions!$B$4=\"bear\",'Assumptions'!$C$27,IF(Assumptions!$B$4=\"base\",'Assumptions'!$C$46,'Assumptions'!$C$65))","Operating!C13":"=IF(Assumptions!$B$4=\"bear\",'Assumptions'!$C$28,IF(Assumptions!$B$4=\"base\",'Assumptions'!$C$47,'Assumptions'!$C$66))","Operating!C14":"=IF(Assumptions!$B$4=\"bear\",'Assumptions'!$C$29,IF(Assumptions!$B$4=\"base\",'Assumptions'!$C$48,'Assumptions'!$C$67))","Operating!C15":"=IF(Assumptions!$B$4=\"bear\",'Assumptions'!$C$30,IF(Assumptions!$B$4=\"base\",'Assumptions'!$C$49,'Assumptions'!$C$68))","Operating!C16":"=IF(Assumptions!$B$4=\"bear\",'Assumptions'!$C$31,IF(Assumptions!$B$4=\"base\",'Assumptions'!$C$50,'Assumptions'!$C$69))","Operating!C17":"=IF(Assumptions!$B$4=\"bear\",'Assumptions'!$C$32,IF(Assumptions!$B$4=\"base\",'Assumptions'!$C$51,'Assumptions'!$C$70))","Operating!C18":"=IF(Assumptions!$B$4=\"bear\",'Assumptions'!$C$33,IF(Assumptions!$B$4=\"base\",'Assumptions'!$C$52,'Assumptions'!$C$71))","Operating!C19":"=IF(Assumptions!$B$4=\"bear\",'Assumptions'!$C$34,IF(Assumptions!$B$4=\"base\",'Assumptions'!$C$53,'Assumptions'!$C$72))","Operating!C20":"=IF(Assumptions!$B$4=\"bear\",'Assumptions'!$C$35,IF(Assumptions!$B$4=\"base\",'Assumptions'!$C$54,'Assumptions'!$C$73))","Operating!C23":"='Operating'!$C$10*'Operating'!$C$11*'Operating'!$C$12","Operating!C24":"='Operating'!$C$10*'Operating'!$C$13","Operating!C25":"='Operating'!$C$23*'Operating'!$C$14","Operating!C26":"='Operating'!$C$23-'Operating'!$C$24-'Operating'!$C$25-'Operating'!$C$16","Operating!C27":"=MAX(0,'Operating'!$C$26)*'Operating'!$C$15","Operating!C28":"='Operating'!$C$26-'Operating'!$C$27","Operating!C29":"='Operating'!$C$28+'Operating'!$C$16-'Operating'!$C$17-'Operating'!$C$18-'Operating'!$C$19","Operating!C30":"='Operating'!$C$29*'Operating'!$B$5-'Operating'!$C$20+IF(1='Operating'!$B$7,'Operating'!$B$6,0)","Operating!C31":"='Operating'!$C$30/(1+'Operating'!$B$4)^1","Operating!C32":"='Assumptions'!$B$7+'Operating'!$C$30","Operating!D9":"=YEAR(DATEVALUE('Assumptions'!$B$12))+2","Operating!D10":"=IF(Assumptions!$B$4=\"bear\",'Assumptions'!$D$25,IF(Assumptions!$B$4=\"base\",'Assumptions'!$D$44,'Assumptions'!$D$63))","Operating!D11":"=IF(Assumptions!$B$4=\"bear\",'Assumptions'!$D$26,IF(Assumptions!$B$4=\"base\",'Assumptions'!$D$45,'Assumptions'!$D$64))","Operating!D12":"=IF(Assumptions!$B$4=\"bear\",'Assumptions'!$D$27,IF(Assumptions!$B$4=\"base\",'Assumptions'!$D$46,'Assumptions'!$D$65))","Operating!D13":"=IF(Assumptions!$B$4=\"bear\",'Assumptions'!$D$28,IF(Assumptions!$B$4=\"base\",'Assumptions'!$D$47,'Assumptions'!$D$66))","Operating!D14":"=IF(Assumptions!$B$4=\"bear\",'Assumptions'!$D$29,IF(Assumptions!$B$4=\"base\",'Assumptions'!$D$48,'Assumptions'!$D$67))","Operating!D15":"=IF(Assumptions!$B$4=\"bear\",'Assumptions'!$D$30,IF(Assumptions!$B$4=\"base\",'Assumptions'!$D$49,'Assumptions'!$D$68))","Operating!D16":"=IF(Assumptions!$B$4=\"bear\",'Assumptions'!$D$31,IF(Assumptions!$B$4=\"base\",'Assumptions'!$D$50,'Assumptions'!$D$69))","Operating!D17":"=IF(Assumptions!$B$4=\"bear\",'Assumptions'!$D$32,IF(Assumptions!$B$4=\"base\",'Assumptions'!$D$51,'Assumptions'!$D$70))","Operating!D18":"=IF(Assumptions!$B$4=\"bear\",'Assumptions'!$D$33,IF(Assumptions!$B$4=\"base\",'Assumptions'!$D$52,'Assumptions'!$D$71))","Operating!D19":"=IF(Assumptions!$B$4=\"bear\",'Assumptions'!$D$34,IF(Assumptions!$B$4=\"base\",'Assumptions'!$D$53,'Assumptions'!$D$72))","Operating!D20":"=IF(Assumptions!$B$4=\"bear\",'Assumptions'!$D$35,IF(Assumptions!$B$4=\"base\",'Assumptions'!$D$54,'Assumptions'!$D$73))","Operating!D23":"='Operating'!$D$10*'Operating'!$D$11*'Operating'!$D$12","Operating!D24":"='Operating'!$D$10*'Operating'!$D$13","Operating!D25":"='Operating'!$D$23*'Operating'!$D$14","Operating!D26":"='Operating'!$D$23-'Operating'!$D$24-'Operating'!$D$25-'Operating'!$D$16","Operating!D27":"=MAX(0,'Operating'!$D$26)*'Operating'!$D$15","Operating!D28":"='Operating'!$D$26-'Operating'!$D$27","Operating!D29":"='Operating'!$D$28+'Operating'!$D$16-'Operating'!$D$</t>
  </si>
  <si>
    <t xml:space="preserve">17-'Operating'!$D$18-'Operating'!$D$19","Operating!D30":"='Operating'!$D$29*'Operating'!$B$5-'Operating'!$D$20+IF(2='Operating'!$B$7,'Operating'!$B$6,0)","Operating!D31":"='Operating'!$D$30/(1+'Operating'!$B$4)^2","Operating!D32":"='Operating'!$C$32+'Operating'!$D$30","Valuation!B5":"=SUM(Operating!C31:D31)","Valuation!B6":"='Assumptions'!$B$7","Valuation!B7":"='Assumptions'!$B$9","Valuation!B8":"='Assumptions'!$B$8","Valuation!B9":"=B5+B6+B7-B8","Valuation!B10":"='Assumptions'!$B$10","Valuation!B11":"=B9/B10","Valuation!B12":"=MIN('Assumptions'!$B$7,Operating!C32:D32)","Valuation!B15":"=IF('Assumptions'!$B$11=\"\",\"Unavailable\",'Assumptions'!$B$11)","Valuation!B16":"=IF(AND(ISNUMBER(B15),B15&gt;0),B11/B15-1,\"Unavailable\")","Sensitivities!C7":"=MAX(0,'Operating'!$B$4+(-0.02))","Sensitivities!D7":"=MAX(0,'Operating'!$B$4+(0))","Sensitivities!E7":"=MAX(0,'Operating'!$B$4+(0.02))","Sensitivities!C17":"=((((('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Sensitivities!D17":"=((((('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Sensitivities!C8":"=(SUM(C17:D17)+'Assumptions'!$B$7+'Assumptions'!$B$9-'Assumptions'!$B$8)/'Assumptions'!$B$10","Sensitivities!C18":"=((((('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Sensitivities!D18":"=((((('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Sensitivities!D8":"=(SUM(C18:D18)+'Assumptions'!$B$7+'Assumptions'!$B$9-'Assumptions'!$B$8)/'Assumptions'!$B$10","Sensitivities!C19":"=((((('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Sensitivities!D19":"=((((('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Sensitivities!E8":"=(SUM(C19:D19)+'Assumptions'!$B$7+'Assumptions'!$B$9-'Assumptions'!$B$8)/'Assumptions'!$B$10","Sensitivities!C20":"=((((('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Sensitivities!D20":"=((((('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Sensitivities!C9":"=(SUM(C20:D20)+'Assumptions'!$B$7+'Assumptions'!$B$9-'Assumptions'!$B$8)/'Assumptions'!$B$10","Sensitivities!C21":"=((((('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Sensitivities!D21":"=((((('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Sensitivities!D9":"=(SUM(C21:D21)+'Assumptions'!$B$7+'Assumptions'!$B$9-'Assumptions'!$B$8)/'Assumptions'!$B$10","Sensitivities!C22":"=((((('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Sensitivities!D22":"=((((('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Sensitivities!E9":"=(SUM(C22:D22)+'Assumptions'!$B$7+'Assumptions'!$B$9-'Assumptions'!$B$8)/'Assumptions'!$B$10","Sensitivities!C23":"=((((('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Sensitivities!D23":"=((((('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Sensitivities!C10":"=(SUM(C23:D23)+'Assumptions'!$B$7+'Assumptions'!$B$9-'Assumptions'!$B$8)/'Assumptions'!$B$10","Sensitivities!C24":"=((((('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Sensitivities!D24":"=((((('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Sensitivities!D10":"=(SUM(C24:D24)+'Assumptions'!$B$7+'Assumptions'!$B$9-'Assumptions'!$B$8)/'Assumptions'!$B$10","Sensitivities!C25":"=((((('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Sensitivities!D25":"=((((('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Sensitivities!E10":"=(SUM(C25:D25)+'Assumptions'!$B$7+'Assumptions'!$B$9-'Assumptions'!$B$8)/'Assumptions'!$B$10","Checks!B5":"=IF(OR(Assumptions!B4=\"bear\",Assumptions!B4=\"base\",Assumptions!B4=\"bull\"),\"PASS\",\"FAIL\")","Checks!B6":"=IF('Assumptions'!$B$10&gt;0,\"PASS\",\"FAIL\")","Checks!B7":"=IF(ABS(Valuation!B9-(Valuation!B5+Valuation!B6+Valuation!B7-Valuation!B8))&lt;0.01,\"PASS\",\"FAIL\")","Checks!B8":"=IF(ABS(Sensitivities!D9-Valuation!B11)&lt;0.000001,\"PASS\",\"FAIL\")","Checks!B9":"=IF(OR(AND('Assumptions'!$B$11=\"\",'Assumptions'!$B$13=\"\"),AND(ISNUMBER('Assumptions'!$B$11),'Assumptions'!$B$11&gt;0,'Assumptions'!$B$13&lt;&gt;\"\")),\"PASS\",\"FAIL\")","Checks!B10":"=IF(AND('Operating'!$B$5&gt;=0,'Operating'!$B$5&lt;=1),\"PASS\",\"FAIL\")","Summary!B7":"=Assumptions!B4","Summary!B8":"='Valuation'!$B$11","Summary!B9":"='Valuation'!$B$9","Summary!B10":"='Valuation'!$B$12"}}</t>
  </si>
</sst>
</file>

<file path=xl/styles.xml><?xml version="1.0" encoding="utf-8"?>
<styleSheet xmlns="http://schemas.openxmlformats.org/spreadsheetml/2006/main">
  <numFmts count="7">
    <numFmt numFmtId="164" formatCode="General"/>
    <numFmt numFmtId="165" formatCode="0.0000"/>
    <numFmt numFmtId="166" formatCode="#,##0.0,,\m"/>
    <numFmt numFmtId="167" formatCode="#,##0,,\m"/>
    <numFmt numFmtId="168" formatCode="#,##0.00;\(#,##0.00\);\–"/>
    <numFmt numFmtId="169" formatCode="0.0%"/>
    <numFmt numFmtId="170" formatCode="0"/>
  </numFmts>
  <fonts count="18">
    <font>
      <sz val="11"/>
      <color theme="1"/>
      <name val="Calibri"/>
      <family val="2"/>
      <charset val="1"/>
    </font>
    <font>
      <sz val="10"/>
      <name val="Arial"/>
      <family val="0"/>
    </font>
    <font>
      <sz val="10"/>
      <name val="Arial"/>
      <family val="0"/>
    </font>
    <font>
      <sz val="10"/>
      <name val="Arial"/>
      <family val="0"/>
    </font>
    <font>
      <b val="true"/>
      <sz val="21"/>
      <color rgb="FFFFFFFF"/>
      <name val="Aptos"/>
      <family val="2"/>
      <charset val="1"/>
    </font>
    <font>
      <b val="true"/>
      <sz val="11"/>
      <color rgb="FFFFFFFF"/>
      <name val="Aptos"/>
      <family val="2"/>
      <charset val="1"/>
    </font>
    <font>
      <b val="true"/>
      <sz val="15"/>
      <color rgb="FF008000"/>
      <name val="Aptos"/>
      <family val="2"/>
      <charset val="1"/>
    </font>
    <font>
      <sz val="11"/>
      <color rgb="FF243746"/>
      <name val="Aptos"/>
      <family val="2"/>
      <charset val="1"/>
    </font>
    <font>
      <sz val="10"/>
      <color rgb="FF667085"/>
      <name val="Aptos"/>
      <family val="2"/>
      <charset val="1"/>
    </font>
    <font>
      <b val="true"/>
      <sz val="12"/>
      <color rgb="FF142D43"/>
      <name val="Calibri"/>
      <family val="2"/>
    </font>
    <font>
      <sz val="10"/>
      <color rgb="FF000000"/>
      <name val="Calibri"/>
      <family val="2"/>
    </font>
    <font>
      <b val="true"/>
      <sz val="10"/>
      <color rgb="FF000000"/>
      <name val="Calibri"/>
      <family val="2"/>
    </font>
    <font>
      <sz val="11"/>
      <color rgb="FF0000FF"/>
      <name val="Aptos"/>
      <family val="2"/>
      <charset val="1"/>
    </font>
    <font>
      <b val="true"/>
      <sz val="11"/>
      <color theme="1"/>
      <name val="Aptos"/>
      <family val="2"/>
      <charset val="1"/>
    </font>
    <font>
      <sz val="10"/>
      <name val="Arial"/>
      <family val="2"/>
    </font>
    <font>
      <sz val="11"/>
      <color rgb="FF008000"/>
      <name val="Aptos"/>
      <family val="2"/>
      <charset val="1"/>
    </font>
    <font>
      <sz val="11"/>
      <color rgb="FF202020"/>
      <name val="Aptos"/>
      <family val="2"/>
      <charset val="1"/>
    </font>
    <font>
      <b val="true"/>
      <sz val="11"/>
      <color rgb="FF202020"/>
      <name val="Aptos"/>
      <family val="2"/>
      <charset val="1"/>
    </font>
  </fonts>
  <fills count="6">
    <fill>
      <patternFill patternType="none"/>
    </fill>
    <fill>
      <patternFill patternType="gray125"/>
    </fill>
    <fill>
      <patternFill patternType="solid">
        <fgColor rgb="FF142D43"/>
        <bgColor rgb="FF243746"/>
      </patternFill>
    </fill>
    <fill>
      <patternFill patternType="solid">
        <fgColor rgb="FF28566F"/>
        <bgColor rgb="FF176443"/>
      </patternFill>
    </fill>
    <fill>
      <patternFill patternType="solid">
        <fgColor rgb="FFF0F5FF"/>
        <bgColor rgb="FFF6F9FB"/>
      </patternFill>
    </fill>
    <fill>
      <patternFill patternType="solid">
        <fgColor rgb="FFEAF2F5"/>
        <bgColor rgb="FFE6F4EC"/>
      </patternFill>
    </fill>
  </fills>
  <borders count="3">
    <border diagonalUp="false" diagonalDown="false">
      <left/>
      <right/>
      <top/>
      <bottom/>
      <diagonal/>
    </border>
    <border diagonalUp="false" diagonalDown="false">
      <left/>
      <right/>
      <top/>
      <bottom style="thin"/>
      <diagonal/>
    </border>
    <border diagonalUp="false" diagonalDown="false">
      <left/>
      <right/>
      <top style="thin">
        <color rgb="FFAEC5CE"/>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8" fontId="12"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8" fontId="17" fillId="5"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566F"/>
          <bgColor rgb="FF000000"/>
        </patternFill>
      </fill>
    </dxf>
    <dxf>
      <fill>
        <patternFill patternType="solid">
          <fgColor rgb="FFFFFFFF"/>
          <bgColor rgb="FF000000"/>
        </patternFill>
      </fill>
    </dxf>
    <dxf>
      <font>
        <b val="1"/>
        <color rgb="FF176443"/>
      </font>
      <fill>
        <patternFill>
          <bgColor rgb="FFE6F4EC"/>
        </patternFill>
      </fill>
    </dxf>
    <dxf>
      <font>
        <b val="1"/>
        <color rgb="FFA12232"/>
      </font>
      <fill>
        <patternFill>
          <bgColor rgb="FFFCE9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87F8E"/>
      <rgbColor rgb="FFAEC5CE"/>
      <rgbColor rgb="FF878787"/>
      <rgbColor rgb="FF9999FF"/>
      <rgbColor rgb="FF993366"/>
      <rgbColor rgb="FFF6F9FB"/>
      <rgbColor rgb="FFE6F4EC"/>
      <rgbColor rgb="FF660066"/>
      <rgbColor rgb="FFFF8080"/>
      <rgbColor rgb="FF0066CC"/>
      <rgbColor rgb="FFCCCCFF"/>
      <rgbColor rgb="FF000080"/>
      <rgbColor rgb="FFFF00FF"/>
      <rgbColor rgb="FFFFFF00"/>
      <rgbColor rgb="FF00FFFF"/>
      <rgbColor rgb="FF800080"/>
      <rgbColor rgb="FF800000"/>
      <rgbColor rgb="FF176443"/>
      <rgbColor rgb="FF0000FF"/>
      <rgbColor rgb="FF00CCFF"/>
      <rgbColor rgb="FFEAF2F5"/>
      <rgbColor rgb="FFF0F5FF"/>
      <rgbColor rgb="FFFCE9EC"/>
      <rgbColor rgb="FF99CCFF"/>
      <rgbColor rgb="FFFF99CC"/>
      <rgbColor rgb="FFCC99FF"/>
      <rgbColor rgb="FFFFCC99"/>
      <rgbColor rgb="FF3366FF"/>
      <rgbColor rgb="FF33CCCC"/>
      <rgbColor rgb="FF99CC00"/>
      <rgbColor rgb="FFFFCC00"/>
      <rgbColor rgb="FFFF9900"/>
      <rgbColor rgb="FFFF6600"/>
      <rgbColor rgb="FF667085"/>
      <rgbColor rgb="FF969696"/>
      <rgbColor rgb="FF142D43"/>
      <rgbColor rgb="FF339966"/>
      <rgbColor rgb="FF003300"/>
      <rgbColor rgb="FF202020"/>
      <rgbColor rgb="FFA12232"/>
      <rgbColor rgb="FF993366"/>
      <rgbColor rgb="FF28566F"/>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Attributable free cash flow</a:t>
            </a:r>
          </a:p>
        </c:rich>
      </c:tx>
      <c:overlay val="0"/>
      <c:spPr>
        <a:noFill/>
        <a:ln w="0">
          <a:noFill/>
        </a:ln>
      </c:spPr>
    </c:title>
    <c:autoTitleDeleted val="0"/>
    <c:plotArea>
      <c:barChart>
        <c:barDir val="col"/>
        <c:grouping val="clustered"/>
        <c:varyColors val="0"/>
        <c:ser>
          <c:idx val="0"/>
          <c:order val="0"/>
          <c:tx>
            <c:strRef>
              <c:f>"Attributable free cash flow"</c:f>
              <c:strCache>
                <c:ptCount val="1"/>
                <c:pt idx="0">
                  <c:v>Attributable free cash flow</c:v>
                </c:pt>
              </c:strCache>
            </c:strRef>
          </c:tx>
          <c:spPr>
            <a:solidFill>
              <a:srgbClr val="287F8E"/>
            </a:solidFill>
            <a:ln w="12600">
              <a:solidFill>
                <a:srgbClr val="287F8E"/>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Operating!$C$9:$D$9</c:f>
              <c:multiLvlStrCache>
                <c:ptCount val="1"/>
                <c:lvl>
                  <c:pt idx="0">
                    <c:v>2028</c:v>
                  </c:pt>
                </c:lvl>
                <c:lvl>
                  <c:pt idx="0">
                    <c:v>2027</c:v>
                  </c:pt>
                </c:lvl>
              </c:multiLvlStrCache>
            </c:multiLvlStrRef>
          </c:cat>
          <c:val>
            <c:numRef>
              <c:f>Operating!$C$30:$D$30</c:f>
              <c:numCache>
                <c:formatCode>#,##0.00;\(#,##0.00\);\–</c:formatCode>
                <c:ptCount val="2"/>
                <c:pt idx="0">
                  <c:v>175</c:v>
                </c:pt>
                <c:pt idx="1">
                  <c:v>150</c:v>
                </c:pt>
              </c:numCache>
            </c:numRef>
          </c:val>
        </c:ser>
        <c:gapWidth val="150"/>
        <c:overlap val="0"/>
        <c:axId val="94053751"/>
        <c:axId val="37214599"/>
      </c:barChart>
      <c:catAx>
        <c:axId val="9405375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214599"/>
        <c:crosses val="autoZero"/>
        <c:auto val="1"/>
        <c:lblAlgn val="ctr"/>
        <c:lblOffset val="100"/>
        <c:noMultiLvlLbl val="0"/>
      </c:catAx>
      <c:valAx>
        <c:axId val="3721459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053751"/>
        <c:crosses val="autoZero"/>
        <c:crossBetween val="between"/>
      </c:valAx>
      <c:spPr>
        <a:ln w="0">
          <a:noFill/>
        </a:ln>
      </c:spPr>
    </c:plotArea>
    <c:plotVisOnly val="1"/>
    <c:dispBlanksAs val="gap"/>
  </c:chart>
  <c:spPr>
    <a:solidFill>
      <a:srgbClr val="F6F9F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Illustrative cash — excludes financing</a:t>
            </a:r>
          </a:p>
        </c:rich>
      </c:tx>
      <c:overlay val="0"/>
      <c:spPr>
        <a:noFill/>
        <a:ln w="0">
          <a:noFill/>
        </a:ln>
      </c:spPr>
    </c:title>
    <c:autoTitleDeleted val="0"/>
    <c:plotArea>
      <c:lineChart>
        <c:grouping val="standard"/>
        <c:varyColors val="0"/>
        <c:ser>
          <c:idx val="0"/>
          <c:order val="0"/>
          <c:tx>
            <c:strRef>
              <c:f>"Illustrative cash balance"</c:f>
              <c:strCache>
                <c:ptCount val="1"/>
                <c:pt idx="0">
                  <c:v>Illustrative cash balance</c:v>
                </c:pt>
              </c:strCache>
            </c:strRef>
          </c:tx>
          <c:spPr>
            <a:ln w="12600">
              <a:solidFill>
                <a:srgbClr val="287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Operating!$C$9:$D$9</c:f>
              <c:multiLvlStrCache>
                <c:ptCount val="1"/>
                <c:lvl>
                  <c:pt idx="0">
                    <c:v>2028</c:v>
                  </c:pt>
                </c:lvl>
                <c:lvl>
                  <c:pt idx="0">
                    <c:v>2027</c:v>
                  </c:pt>
                </c:lvl>
              </c:multiLvlStrCache>
            </c:multiLvlStrRef>
          </c:cat>
          <c:val>
            <c:numRef>
              <c:f>Operating!$C$32:$D$32</c:f>
              <c:numCache>
                <c:formatCode>#,##0.00;\(#,##0.00\);\–</c:formatCode>
                <c:ptCount val="2"/>
                <c:pt idx="0">
                  <c:v>275</c:v>
                </c:pt>
                <c:pt idx="1">
                  <c:v>425</c:v>
                </c:pt>
              </c:numCache>
            </c:numRef>
          </c:val>
          <c:smooth val="1"/>
        </c:ser>
        <c:hiLowLines>
          <c:spPr>
            <a:ln w="0">
              <a:noFill/>
            </a:ln>
          </c:spPr>
        </c:hiLowLines>
        <c:marker val="0"/>
        <c:axId val="91145435"/>
        <c:axId val="67908108"/>
      </c:lineChart>
      <c:catAx>
        <c:axId val="911454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7908108"/>
        <c:crosses val="autoZero"/>
        <c:auto val="1"/>
        <c:lblAlgn val="ctr"/>
        <c:lblOffset val="100"/>
        <c:noMultiLvlLbl val="0"/>
      </c:catAx>
      <c:valAx>
        <c:axId val="67908108"/>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145435"/>
        <c:crosses val="autoZero"/>
        <c:crossBetween val="between"/>
      </c:valAx>
      <c:spPr>
        <a:ln w="0">
          <a:noFill/>
        </a:ln>
      </c:spPr>
    </c:plotArea>
    <c:plotVisOnly val="1"/>
    <c:dispBlanksAs val="gap"/>
  </c:chart>
  <c:spPr>
    <a:solidFill>
      <a:srgbClr val="F6F9FB"/>
    </a:solidFill>
    <a:ln w="936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0</xdr:rowOff>
    </xdr:from>
    <xdr:to>
      <xdr:col>2</xdr:col>
      <xdr:colOff>514080</xdr:colOff>
      <xdr:row>30</xdr:row>
      <xdr:rowOff>285120</xdr:rowOff>
    </xdr:to>
    <xdr:graphicFrame>
      <xdr:nvGraphicFramePr>
        <xdr:cNvPr id="1" name="Chart 1"/>
        <xdr:cNvGraphicFramePr/>
      </xdr:nvGraphicFramePr>
      <xdr:xfrm>
        <a:off x="0" y="6000840"/>
        <a:ext cx="5407560" cy="2856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21</xdr:row>
      <xdr:rowOff>0</xdr:rowOff>
    </xdr:from>
    <xdr:to>
      <xdr:col>8</xdr:col>
      <xdr:colOff>418680</xdr:colOff>
      <xdr:row>30</xdr:row>
      <xdr:rowOff>285120</xdr:rowOff>
    </xdr:to>
    <xdr:graphicFrame>
      <xdr:nvGraphicFramePr>
        <xdr:cNvPr id="2" name="Chart 2"/>
        <xdr:cNvGraphicFramePr/>
      </xdr:nvGraphicFramePr>
      <xdr:xfrm>
        <a:off x="7390080" y="6000840"/>
        <a:ext cx="541224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H19"/>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0</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2" t="s">
        <v>1</v>
      </c>
      <c r="B4" s="2"/>
      <c r="C4" s="2"/>
      <c r="D4" s="2"/>
      <c r="E4" s="2"/>
      <c r="F4" s="2"/>
      <c r="G4" s="2"/>
      <c r="H4" s="2"/>
    </row>
    <row r="5" customFormat="false" ht="22.5" hidden="false" customHeight="true" outlineLevel="0" collapsed="false">
      <c r="A5" s="2"/>
      <c r="B5" s="2"/>
      <c r="C5" s="2"/>
      <c r="D5" s="2"/>
      <c r="E5" s="2"/>
      <c r="F5" s="2"/>
      <c r="G5" s="2"/>
      <c r="H5" s="2"/>
    </row>
    <row r="7" customFormat="false" ht="22.5" hidden="false" customHeight="true" outlineLevel="0" collapsed="false">
      <c r="A7" s="0" t="s">
        <v>2</v>
      </c>
      <c r="B7" s="3" t="str">
        <f aca="false">Assumptions!B4</f>
        <v>base</v>
      </c>
    </row>
    <row r="8" customFormat="false" ht="22.5" hidden="false" customHeight="true" outlineLevel="0" collapsed="false">
      <c r="A8" s="0" t="s">
        <v>3</v>
      </c>
      <c r="B8" s="3" t="n">
        <f aca="false">Valuation!$B$11</f>
        <v>3.63057851239669</v>
      </c>
    </row>
    <row r="9" customFormat="false" ht="22.5" hidden="false" customHeight="true" outlineLevel="0" collapsed="false">
      <c r="A9" s="0" t="s">
        <v>4</v>
      </c>
      <c r="B9" s="4" t="n">
        <f aca="false">Valuation!$B$9</f>
        <v>363.057851239669</v>
      </c>
    </row>
    <row r="10" customFormat="false" ht="22.5" hidden="false" customHeight="true" outlineLevel="0" collapsed="false">
      <c r="A10" s="0" t="s">
        <v>5</v>
      </c>
      <c r="B10" s="4" t="n">
        <f aca="false">Valuation!$B$12</f>
        <v>100</v>
      </c>
    </row>
    <row r="12" customFormat="false" ht="22.5" hidden="false" customHeight="true" outlineLevel="0" collapsed="false">
      <c r="A12" s="5" t="s">
        <v>6</v>
      </c>
      <c r="B12" s="5"/>
      <c r="C12" s="5"/>
      <c r="D12" s="5"/>
      <c r="E12" s="5"/>
      <c r="F12" s="5"/>
      <c r="G12" s="5"/>
      <c r="H12" s="5"/>
    </row>
    <row r="13" customFormat="false" ht="22.5" hidden="false" customHeight="true" outlineLevel="0" collapsed="false">
      <c r="A13" s="5"/>
      <c r="B13" s="5"/>
      <c r="C13" s="5"/>
      <c r="D13" s="5"/>
      <c r="E13" s="5"/>
      <c r="F13" s="5"/>
      <c r="G13" s="5"/>
      <c r="H13" s="5"/>
    </row>
    <row r="14" customFormat="false" ht="22.5" hidden="false" customHeight="true" outlineLevel="0" collapsed="false">
      <c r="A14" s="5"/>
      <c r="B14" s="5"/>
      <c r="C14" s="5"/>
      <c r="D14" s="5"/>
      <c r="E14" s="5"/>
      <c r="F14" s="5"/>
      <c r="G14" s="5"/>
      <c r="H14" s="5"/>
    </row>
    <row r="16" customFormat="false" ht="22.5" hidden="false" customHeight="true" outlineLevel="0" collapsed="false">
      <c r="A16" s="6" t="s">
        <v>7</v>
      </c>
      <c r="B16" s="6"/>
      <c r="C16" s="6"/>
      <c r="D16" s="6"/>
      <c r="E16" s="6"/>
      <c r="F16" s="6"/>
      <c r="G16" s="6"/>
      <c r="H16" s="6"/>
    </row>
    <row r="17" customFormat="false" ht="22.5" hidden="false" customHeight="true" outlineLevel="0" collapsed="false">
      <c r="A17" s="6"/>
      <c r="B17" s="6"/>
      <c r="C17" s="6"/>
      <c r="D17" s="6"/>
      <c r="E17" s="6"/>
      <c r="F17" s="6"/>
      <c r="G17" s="6"/>
      <c r="H17" s="6"/>
    </row>
    <row r="18" customFormat="false" ht="22.5" hidden="false" customHeight="true" outlineLevel="0" collapsed="false">
      <c r="A18" s="6"/>
      <c r="B18" s="6"/>
      <c r="C18" s="6"/>
      <c r="D18" s="6"/>
      <c r="E18" s="6"/>
      <c r="F18" s="6"/>
      <c r="G18" s="6"/>
      <c r="H18" s="6"/>
    </row>
    <row r="19" customFormat="false" ht="22.5" hidden="false" customHeight="true" outlineLevel="0" collapsed="false">
      <c r="A19" s="6"/>
      <c r="B19" s="6"/>
      <c r="C19" s="6"/>
      <c r="D19" s="6"/>
      <c r="E19" s="6"/>
      <c r="F19" s="6"/>
      <c r="G19" s="6"/>
      <c r="H19" s="6"/>
    </row>
  </sheetData>
  <mergeCells count="4">
    <mergeCell ref="A1:F2"/>
    <mergeCell ref="A4:H5"/>
    <mergeCell ref="A12:H14"/>
    <mergeCell ref="A16:H19"/>
  </mergeCells>
  <printOptions headings="false" gridLines="false" gridLinesSet="true" horizontalCentered="false" verticalCentered="false"/>
  <pageMargins left="0.3" right="0.3" top="0.4" bottom="0.4"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&amp;Ldemo-mine | Summary&amp;RPage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H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8</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7" t="s">
        <v>2</v>
      </c>
      <c r="B4" s="8" t="s">
        <v>9</v>
      </c>
      <c r="C4" s="6" t="s">
        <v>10</v>
      </c>
      <c r="D4" s="6"/>
      <c r="E4" s="6"/>
      <c r="F4" s="6"/>
      <c r="G4" s="6"/>
      <c r="H4" s="6"/>
    </row>
    <row r="7" customFormat="false" ht="22.5" hidden="false" customHeight="true" outlineLevel="0" collapsed="false">
      <c r="A7" s="0" t="s">
        <v>11</v>
      </c>
      <c r="B7" s="9" t="n">
        <v>100</v>
      </c>
      <c r="C7" s="10" t="s">
        <v>12</v>
      </c>
    </row>
    <row r="8" customFormat="false" ht="22.5" hidden="false" customHeight="true" outlineLevel="0" collapsed="false">
      <c r="A8" s="0" t="s">
        <v>13</v>
      </c>
      <c r="B8" s="9" t="n">
        <v>20</v>
      </c>
      <c r="C8" s="10" t="s">
        <v>12</v>
      </c>
    </row>
    <row r="9" customFormat="false" ht="22.5" hidden="false" customHeight="true" outlineLevel="0" collapsed="false">
      <c r="A9" s="0" t="s">
        <v>14</v>
      </c>
      <c r="B9" s="9" t="n">
        <v>0</v>
      </c>
      <c r="C9" s="10" t="s">
        <v>12</v>
      </c>
    </row>
    <row r="10" customFormat="false" ht="22.5" hidden="false" customHeight="true" outlineLevel="0" collapsed="false">
      <c r="A10" s="0" t="s">
        <v>15</v>
      </c>
      <c r="B10" s="9" t="n">
        <v>100</v>
      </c>
      <c r="C10" s="10" t="s">
        <v>16</v>
      </c>
    </row>
    <row r="11" customFormat="false" ht="22.5" hidden="false" customHeight="true" outlineLevel="0" collapsed="false">
      <c r="A11" s="0" t="s">
        <v>17</v>
      </c>
      <c r="B11" s="9" t="n">
        <v>2</v>
      </c>
      <c r="C11" s="10" t="s">
        <v>18</v>
      </c>
    </row>
    <row r="12" customFormat="false" ht="22.5" hidden="false" customHeight="true" outlineLevel="0" collapsed="false">
      <c r="A12" s="0" t="s">
        <v>19</v>
      </c>
      <c r="B12" s="8" t="s">
        <v>20</v>
      </c>
      <c r="C12" s="10" t="s">
        <v>21</v>
      </c>
    </row>
    <row r="13" customFormat="false" ht="22.5" hidden="false" customHeight="true" outlineLevel="0" collapsed="false">
      <c r="A13" s="0" t="s">
        <v>22</v>
      </c>
      <c r="B13" s="8" t="s">
        <v>23</v>
      </c>
      <c r="C13" s="10" t="s">
        <v>21</v>
      </c>
    </row>
    <row r="15" customFormat="false" ht="22.5" hidden="false" customHeight="true" outlineLevel="0" collapsed="false">
      <c r="A15" s="6" t="s">
        <v>24</v>
      </c>
      <c r="B15" s="6"/>
      <c r="C15" s="6"/>
      <c r="D15" s="6"/>
      <c r="E15" s="6"/>
      <c r="F15" s="6"/>
      <c r="G15" s="6"/>
      <c r="H15" s="6"/>
    </row>
    <row r="16" customFormat="false" ht="22.5" hidden="false" customHeight="true" outlineLevel="0" collapsed="false">
      <c r="A16" s="6"/>
      <c r="B16" s="6"/>
      <c r="C16" s="6"/>
      <c r="D16" s="6"/>
      <c r="E16" s="6"/>
      <c r="F16" s="6"/>
      <c r="G16" s="6"/>
      <c r="H16" s="6"/>
    </row>
    <row r="19" customFormat="false" ht="22.5" hidden="false" customHeight="true" outlineLevel="0" collapsed="false">
      <c r="A19" s="2" t="s">
        <v>25</v>
      </c>
      <c r="B19" s="2"/>
      <c r="C19" s="2"/>
      <c r="D19" s="2"/>
      <c r="E19" s="2"/>
      <c r="F19" s="2"/>
    </row>
    <row r="20" customFormat="false" ht="22.5" hidden="false" customHeight="true" outlineLevel="0" collapsed="false">
      <c r="A20" s="0" t="s">
        <v>26</v>
      </c>
      <c r="B20" s="11" t="n">
        <v>0.1</v>
      </c>
    </row>
    <row r="21" customFormat="false" ht="22.5" hidden="false" customHeight="true" outlineLevel="0" collapsed="false">
      <c r="A21" s="0" t="s">
        <v>27</v>
      </c>
      <c r="B21" s="11" t="n">
        <v>0.5</v>
      </c>
    </row>
    <row r="22" customFormat="false" ht="22.5" hidden="false" customHeight="true" outlineLevel="0" collapsed="false">
      <c r="A22" s="0" t="s">
        <v>28</v>
      </c>
      <c r="B22" s="9" t="n">
        <v>0</v>
      </c>
    </row>
    <row r="23" customFormat="false" ht="22.5" hidden="false" customHeight="true" outlineLevel="0" collapsed="false">
      <c r="A23" s="0" t="s">
        <v>29</v>
      </c>
      <c r="B23" s="0" t="n">
        <v>2</v>
      </c>
    </row>
    <row r="24" customFormat="false" ht="22.5" hidden="false" customHeight="true" outlineLevel="0" collapsed="false">
      <c r="C24" s="12" t="n">
        <v>2027</v>
      </c>
      <c r="D24" s="12" t="n">
        <v>2028</v>
      </c>
    </row>
    <row r="25" customFormat="false" ht="22.5" hidden="false" customHeight="true" outlineLevel="0" collapsed="false">
      <c r="A25" s="0" t="s">
        <v>30</v>
      </c>
      <c r="B25" s="10" t="s">
        <v>31</v>
      </c>
      <c r="C25" s="9" t="n">
        <v>10</v>
      </c>
      <c r="D25" s="9" t="n">
        <v>10</v>
      </c>
    </row>
    <row r="26" customFormat="false" ht="22.5" hidden="false" customHeight="true" outlineLevel="0" collapsed="false">
      <c r="A26" s="0" t="s">
        <v>32</v>
      </c>
      <c r="B26" s="10" t="s">
        <v>33</v>
      </c>
      <c r="C26" s="9" t="n">
        <v>80</v>
      </c>
      <c r="D26" s="9" t="n">
        <v>80</v>
      </c>
    </row>
    <row r="27" customFormat="false" ht="22.5" hidden="false" customHeight="true" outlineLevel="0" collapsed="false">
      <c r="A27" s="0" t="s">
        <v>34</v>
      </c>
      <c r="B27" s="10" t="s">
        <v>35</v>
      </c>
      <c r="C27" s="9" t="n">
        <v>1</v>
      </c>
      <c r="D27" s="9" t="n">
        <v>1</v>
      </c>
    </row>
    <row r="28" customFormat="false" ht="22.5" hidden="false" customHeight="true" outlineLevel="0" collapsed="false">
      <c r="A28" s="0" t="s">
        <v>36</v>
      </c>
      <c r="B28" s="10" t="s">
        <v>37</v>
      </c>
      <c r="C28" s="9" t="n">
        <v>40</v>
      </c>
      <c r="D28" s="9" t="n">
        <v>40</v>
      </c>
    </row>
    <row r="29" customFormat="false" ht="22.5" hidden="false" customHeight="true" outlineLevel="0" collapsed="false">
      <c r="A29" s="0" t="s">
        <v>38</v>
      </c>
      <c r="B29" s="10" t="s">
        <v>39</v>
      </c>
      <c r="C29" s="11" t="n">
        <v>0</v>
      </c>
      <c r="D29" s="11" t="n">
        <v>0</v>
      </c>
    </row>
    <row r="30" customFormat="false" ht="22.5" hidden="false" customHeight="true" outlineLevel="0" collapsed="false">
      <c r="A30" s="0" t="s">
        <v>40</v>
      </c>
      <c r="B30" s="10" t="s">
        <v>39</v>
      </c>
      <c r="C30" s="11" t="n">
        <v>0.25</v>
      </c>
      <c r="D30" s="11" t="n">
        <v>0.25</v>
      </c>
    </row>
    <row r="31" customFormat="false" ht="22.5" hidden="false" customHeight="true" outlineLevel="0" collapsed="false">
      <c r="A31" s="0" t="s">
        <v>41</v>
      </c>
      <c r="B31" s="10" t="s">
        <v>12</v>
      </c>
      <c r="C31" s="9" t="n">
        <v>0</v>
      </c>
      <c r="D31" s="9" t="n">
        <v>0</v>
      </c>
    </row>
    <row r="32" customFormat="false" ht="22.5" hidden="false" customHeight="true" outlineLevel="0" collapsed="false">
      <c r="A32" s="0" t="s">
        <v>42</v>
      </c>
      <c r="B32" s="10" t="s">
        <v>12</v>
      </c>
      <c r="C32" s="9" t="n">
        <v>100</v>
      </c>
      <c r="D32" s="9" t="n">
        <v>100</v>
      </c>
    </row>
    <row r="33" customFormat="false" ht="22.5" hidden="false" customHeight="true" outlineLevel="0" collapsed="false">
      <c r="A33" s="0" t="s">
        <v>43</v>
      </c>
      <c r="B33" s="10" t="s">
        <v>12</v>
      </c>
      <c r="C33" s="9" t="n">
        <v>0</v>
      </c>
      <c r="D33" s="9" t="n">
        <v>0</v>
      </c>
    </row>
    <row r="34" customFormat="false" ht="22.5" hidden="false" customHeight="true" outlineLevel="0" collapsed="false">
      <c r="A34" s="0" t="s">
        <v>44</v>
      </c>
      <c r="B34" s="10" t="s">
        <v>12</v>
      </c>
      <c r="C34" s="9" t="n">
        <v>0</v>
      </c>
      <c r="D34" s="9" t="n">
        <v>50</v>
      </c>
    </row>
    <row r="35" customFormat="false" ht="22.5" hidden="false" customHeight="true" outlineLevel="0" collapsed="false">
      <c r="A35" s="0" t="s">
        <v>45</v>
      </c>
      <c r="B35" s="10" t="s">
        <v>12</v>
      </c>
      <c r="C35" s="9" t="n">
        <v>0</v>
      </c>
      <c r="D35" s="9" t="n">
        <v>0</v>
      </c>
    </row>
    <row r="38" customFormat="false" ht="22.5" hidden="false" customHeight="true" outlineLevel="0" collapsed="false">
      <c r="A38" s="2" t="s">
        <v>46</v>
      </c>
      <c r="B38" s="2"/>
      <c r="C38" s="2"/>
      <c r="D38" s="2"/>
      <c r="E38" s="2"/>
      <c r="F38" s="2"/>
    </row>
    <row r="39" customFormat="false" ht="22.5" hidden="false" customHeight="true" outlineLevel="0" collapsed="false">
      <c r="A39" s="0" t="s">
        <v>26</v>
      </c>
      <c r="B39" s="11" t="n">
        <v>0.1</v>
      </c>
    </row>
    <row r="40" customFormat="false" ht="22.5" hidden="false" customHeight="true" outlineLevel="0" collapsed="false">
      <c r="A40" s="0" t="s">
        <v>27</v>
      </c>
      <c r="B40" s="11" t="n">
        <v>0.5</v>
      </c>
    </row>
    <row r="41" customFormat="false" ht="22.5" hidden="false" customHeight="true" outlineLevel="0" collapsed="false">
      <c r="A41" s="0" t="s">
        <v>28</v>
      </c>
      <c r="B41" s="9" t="n">
        <v>0</v>
      </c>
    </row>
    <row r="42" customFormat="false" ht="22.5" hidden="false" customHeight="true" outlineLevel="0" collapsed="false">
      <c r="A42" s="0" t="s">
        <v>29</v>
      </c>
      <c r="B42" s="0" t="n">
        <v>2</v>
      </c>
    </row>
    <row r="43" customFormat="false" ht="22.5" hidden="false" customHeight="true" outlineLevel="0" collapsed="false">
      <c r="C43" s="12" t="n">
        <v>2027</v>
      </c>
      <c r="D43" s="12" t="n">
        <v>2028</v>
      </c>
    </row>
    <row r="44" customFormat="false" ht="22.5" hidden="false" customHeight="true" outlineLevel="0" collapsed="false">
      <c r="A44" s="0" t="s">
        <v>30</v>
      </c>
      <c r="B44" s="10" t="s">
        <v>31</v>
      </c>
      <c r="C44" s="9" t="n">
        <v>10</v>
      </c>
      <c r="D44" s="9" t="n">
        <v>10</v>
      </c>
    </row>
    <row r="45" customFormat="false" ht="22.5" hidden="false" customHeight="true" outlineLevel="0" collapsed="false">
      <c r="A45" s="0" t="s">
        <v>32</v>
      </c>
      <c r="B45" s="10" t="s">
        <v>33</v>
      </c>
      <c r="C45" s="9" t="n">
        <v>100</v>
      </c>
      <c r="D45" s="9" t="n">
        <v>100</v>
      </c>
    </row>
    <row r="46" customFormat="false" ht="22.5" hidden="false" customHeight="true" outlineLevel="0" collapsed="false">
      <c r="A46" s="0" t="s">
        <v>34</v>
      </c>
      <c r="B46" s="10" t="s">
        <v>35</v>
      </c>
      <c r="C46" s="9" t="n">
        <v>1</v>
      </c>
      <c r="D46" s="9" t="n">
        <v>1</v>
      </c>
    </row>
    <row r="47" customFormat="false" ht="22.5" hidden="false" customHeight="true" outlineLevel="0" collapsed="false">
      <c r="A47" s="0" t="s">
        <v>36</v>
      </c>
      <c r="B47" s="10" t="s">
        <v>37</v>
      </c>
      <c r="C47" s="9" t="n">
        <v>40</v>
      </c>
      <c r="D47" s="9" t="n">
        <v>40</v>
      </c>
    </row>
    <row r="48" customFormat="false" ht="22.5" hidden="false" customHeight="true" outlineLevel="0" collapsed="false">
      <c r="A48" s="0" t="s">
        <v>38</v>
      </c>
      <c r="B48" s="10" t="s">
        <v>39</v>
      </c>
      <c r="C48" s="11" t="n">
        <v>0</v>
      </c>
      <c r="D48" s="11" t="n">
        <v>0</v>
      </c>
    </row>
    <row r="49" customFormat="false" ht="22.5" hidden="false" customHeight="true" outlineLevel="0" collapsed="false">
      <c r="A49" s="0" t="s">
        <v>40</v>
      </c>
      <c r="B49" s="10" t="s">
        <v>39</v>
      </c>
      <c r="C49" s="11" t="n">
        <v>0.25</v>
      </c>
      <c r="D49" s="11" t="n">
        <v>0.25</v>
      </c>
    </row>
    <row r="50" customFormat="false" ht="22.5" hidden="false" customHeight="true" outlineLevel="0" collapsed="false">
      <c r="A50" s="0" t="s">
        <v>41</v>
      </c>
      <c r="B50" s="10" t="s">
        <v>12</v>
      </c>
      <c r="C50" s="9" t="n">
        <v>0</v>
      </c>
      <c r="D50" s="9" t="n">
        <v>0</v>
      </c>
    </row>
    <row r="51" customFormat="false" ht="22.5" hidden="false" customHeight="true" outlineLevel="0" collapsed="false">
      <c r="A51" s="0" t="s">
        <v>42</v>
      </c>
      <c r="B51" s="10" t="s">
        <v>12</v>
      </c>
      <c r="C51" s="9" t="n">
        <v>100</v>
      </c>
      <c r="D51" s="9" t="n">
        <v>100</v>
      </c>
    </row>
    <row r="52" customFormat="false" ht="22.5" hidden="false" customHeight="true" outlineLevel="0" collapsed="false">
      <c r="A52" s="0" t="s">
        <v>43</v>
      </c>
      <c r="B52" s="10" t="s">
        <v>12</v>
      </c>
      <c r="C52" s="9" t="n">
        <v>0</v>
      </c>
      <c r="D52" s="9" t="n">
        <v>0</v>
      </c>
    </row>
    <row r="53" customFormat="false" ht="22.5" hidden="false" customHeight="true" outlineLevel="0" collapsed="false">
      <c r="A53" s="0" t="s">
        <v>44</v>
      </c>
      <c r="B53" s="10" t="s">
        <v>12</v>
      </c>
      <c r="C53" s="9" t="n">
        <v>0</v>
      </c>
      <c r="D53" s="9" t="n">
        <v>50</v>
      </c>
    </row>
    <row r="54" customFormat="false" ht="22.5" hidden="false" customHeight="true" outlineLevel="0" collapsed="false">
      <c r="A54" s="0" t="s">
        <v>45</v>
      </c>
      <c r="B54" s="10" t="s">
        <v>12</v>
      </c>
      <c r="C54" s="9" t="n">
        <v>0</v>
      </c>
      <c r="D54" s="9" t="n">
        <v>0</v>
      </c>
    </row>
    <row r="57" customFormat="false" ht="22.5" hidden="false" customHeight="true" outlineLevel="0" collapsed="false">
      <c r="A57" s="2" t="s">
        <v>47</v>
      </c>
      <c r="B57" s="2"/>
      <c r="C57" s="2"/>
      <c r="D57" s="2"/>
      <c r="E57" s="2"/>
      <c r="F57" s="2"/>
    </row>
    <row r="58" customFormat="false" ht="22.5" hidden="false" customHeight="true" outlineLevel="0" collapsed="false">
      <c r="A58" s="0" t="s">
        <v>26</v>
      </c>
      <c r="B58" s="11" t="n">
        <v>0.1</v>
      </c>
    </row>
    <row r="59" customFormat="false" ht="22.5" hidden="false" customHeight="true" outlineLevel="0" collapsed="false">
      <c r="A59" s="0" t="s">
        <v>27</v>
      </c>
      <c r="B59" s="11" t="n">
        <v>0.5</v>
      </c>
    </row>
    <row r="60" customFormat="false" ht="22.5" hidden="false" customHeight="true" outlineLevel="0" collapsed="false">
      <c r="A60" s="0" t="s">
        <v>28</v>
      </c>
      <c r="B60" s="9" t="n">
        <v>0</v>
      </c>
    </row>
    <row r="61" customFormat="false" ht="22.5" hidden="false" customHeight="true" outlineLevel="0" collapsed="false">
      <c r="A61" s="0" t="s">
        <v>29</v>
      </c>
      <c r="B61" s="0" t="n">
        <v>2</v>
      </c>
    </row>
    <row r="62" customFormat="false" ht="22.5" hidden="false" customHeight="true" outlineLevel="0" collapsed="false">
      <c r="C62" s="12" t="n">
        <v>2027</v>
      </c>
      <c r="D62" s="12" t="n">
        <v>2028</v>
      </c>
    </row>
    <row r="63" customFormat="false" ht="22.5" hidden="false" customHeight="true" outlineLevel="0" collapsed="false">
      <c r="A63" s="0" t="s">
        <v>30</v>
      </c>
      <c r="B63" s="10" t="s">
        <v>31</v>
      </c>
      <c r="C63" s="9" t="n">
        <v>10</v>
      </c>
      <c r="D63" s="9" t="n">
        <v>10</v>
      </c>
    </row>
    <row r="64" customFormat="false" ht="22.5" hidden="false" customHeight="true" outlineLevel="0" collapsed="false">
      <c r="A64" s="0" t="s">
        <v>32</v>
      </c>
      <c r="B64" s="10" t="s">
        <v>33</v>
      </c>
      <c r="C64" s="9" t="n">
        <v>120</v>
      </c>
      <c r="D64" s="9" t="n">
        <v>120</v>
      </c>
    </row>
    <row r="65" customFormat="false" ht="22.5" hidden="false" customHeight="true" outlineLevel="0" collapsed="false">
      <c r="A65" s="0" t="s">
        <v>34</v>
      </c>
      <c r="B65" s="10" t="s">
        <v>35</v>
      </c>
      <c r="C65" s="9" t="n">
        <v>1</v>
      </c>
      <c r="D65" s="9" t="n">
        <v>1</v>
      </c>
    </row>
    <row r="66" customFormat="false" ht="22.5" hidden="false" customHeight="true" outlineLevel="0" collapsed="false">
      <c r="A66" s="0" t="s">
        <v>36</v>
      </c>
      <c r="B66" s="10" t="s">
        <v>37</v>
      </c>
      <c r="C66" s="9" t="n">
        <v>40</v>
      </c>
      <c r="D66" s="9" t="n">
        <v>40</v>
      </c>
    </row>
    <row r="67" customFormat="false" ht="22.5" hidden="false" customHeight="true" outlineLevel="0" collapsed="false">
      <c r="A67" s="0" t="s">
        <v>38</v>
      </c>
      <c r="B67" s="10" t="s">
        <v>39</v>
      </c>
      <c r="C67" s="11" t="n">
        <v>0</v>
      </c>
      <c r="D67" s="11" t="n">
        <v>0</v>
      </c>
    </row>
    <row r="68" customFormat="false" ht="22.5" hidden="false" customHeight="true" outlineLevel="0" collapsed="false">
      <c r="A68" s="0" t="s">
        <v>40</v>
      </c>
      <c r="B68" s="10" t="s">
        <v>39</v>
      </c>
      <c r="C68" s="11" t="n">
        <v>0.25</v>
      </c>
      <c r="D68" s="11" t="n">
        <v>0.25</v>
      </c>
    </row>
    <row r="69" customFormat="false" ht="22.5" hidden="false" customHeight="true" outlineLevel="0" collapsed="false">
      <c r="A69" s="0" t="s">
        <v>41</v>
      </c>
      <c r="B69" s="10" t="s">
        <v>12</v>
      </c>
      <c r="C69" s="9" t="n">
        <v>0</v>
      </c>
      <c r="D69" s="9" t="n">
        <v>0</v>
      </c>
    </row>
    <row r="70" customFormat="false" ht="22.5" hidden="false" customHeight="true" outlineLevel="0" collapsed="false">
      <c r="A70" s="0" t="s">
        <v>42</v>
      </c>
      <c r="B70" s="10" t="s">
        <v>12</v>
      </c>
      <c r="C70" s="9" t="n">
        <v>100</v>
      </c>
      <c r="D70" s="9" t="n">
        <v>100</v>
      </c>
    </row>
    <row r="71" customFormat="false" ht="22.5" hidden="false" customHeight="true" outlineLevel="0" collapsed="false">
      <c r="A71" s="0" t="s">
        <v>43</v>
      </c>
      <c r="B71" s="10" t="s">
        <v>12</v>
      </c>
      <c r="C71" s="9" t="n">
        <v>0</v>
      </c>
      <c r="D71" s="9" t="n">
        <v>0</v>
      </c>
    </row>
    <row r="72" customFormat="false" ht="22.5" hidden="false" customHeight="true" outlineLevel="0" collapsed="false">
      <c r="A72" s="0" t="s">
        <v>44</v>
      </c>
      <c r="B72" s="10" t="s">
        <v>12</v>
      </c>
      <c r="C72" s="9" t="n">
        <v>0</v>
      </c>
      <c r="D72" s="9" t="n">
        <v>50</v>
      </c>
    </row>
    <row r="73" customFormat="false" ht="22.5" hidden="false" customHeight="true" outlineLevel="0" collapsed="false">
      <c r="A73" s="0" t="s">
        <v>45</v>
      </c>
      <c r="B73" s="10" t="s">
        <v>12</v>
      </c>
      <c r="C73" s="9" t="n">
        <v>0</v>
      </c>
      <c r="D73" s="9" t="n">
        <v>0</v>
      </c>
    </row>
  </sheetData>
  <mergeCells count="6">
    <mergeCell ref="A1:F2"/>
    <mergeCell ref="C4:H4"/>
    <mergeCell ref="A15:H16"/>
    <mergeCell ref="A19:F19"/>
    <mergeCell ref="A38:F38"/>
    <mergeCell ref="A57:F57"/>
  </mergeCells>
  <dataValidations count="1">
    <dataValidation allowBlank="true" errorStyle="stop" operator="between" showDropDown="false" showErrorMessage="true" showInputMessage="true" sqref="B4" type="list">
      <formula1>"bear,base,bull"</formula1>
      <formula2>0</formula2>
    </dataValidation>
  </dataValidations>
  <printOptions headings="false" gridLines="false" gridLinesSet="true" horizontalCentered="false" verticalCentered="false"/>
  <pageMargins left="0.3" right="0.3" top="0.4" bottom="0.4"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&amp;Ldemo-mine | Assumptions&amp;RPage &amp;P of &amp;N</oddFooter>
  </headerFooter>
  <rowBreaks count="2" manualBreakCount="2">
    <brk id="37" man="true" max="16383" min="0"/>
    <brk id="56"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8.71"/>
    <col collapsed="false" customWidth="true" hidden="false" outlineLevel="0" max="2" min="2" style="0" width="18.71"/>
    <col collapsed="false" customWidth="true" hidden="false" outlineLevel="0" max="5" min="3" style="0" width="17.71"/>
    <col collapsed="false" customWidth="true" hidden="false" outlineLevel="0" max="6" min="6" style="0" width="26.71"/>
    <col collapsed="false" customWidth="true" hidden="false" outlineLevel="0" max="7" min="7" style="0" width="17.71"/>
    <col collapsed="false" customWidth="true" hidden="false" outlineLevel="0" max="8" min="8" style="0" width="24.71"/>
    <col collapsed="false" customWidth="true" hidden="false" outlineLevel="0" max="9" min="9" style="0" width="17.71"/>
  </cols>
  <sheetData>
    <row r="1" customFormat="false" ht="22.5" hidden="false" customHeight="true" outlineLevel="0" collapsed="false">
      <c r="A1" s="1" t="s">
        <v>48</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6" t="s">
        <v>49</v>
      </c>
      <c r="B4" s="6"/>
      <c r="C4" s="6"/>
      <c r="D4" s="6"/>
      <c r="E4" s="6"/>
      <c r="F4" s="6"/>
      <c r="G4" s="6"/>
      <c r="H4" s="6"/>
      <c r="I4" s="6"/>
    </row>
    <row r="6" customFormat="false" ht="22.5" hidden="false" customHeight="true" outlineLevel="0" collapsed="false">
      <c r="A6" s="7" t="s">
        <v>50</v>
      </c>
      <c r="B6" s="7" t="s">
        <v>51</v>
      </c>
      <c r="C6" s="7" t="s">
        <v>52</v>
      </c>
      <c r="D6" s="7" t="s">
        <v>53</v>
      </c>
      <c r="E6" s="7" t="s">
        <v>54</v>
      </c>
      <c r="F6" s="7" t="s">
        <v>55</v>
      </c>
      <c r="G6" s="7" t="s">
        <v>56</v>
      </c>
      <c r="H6" s="7" t="s">
        <v>57</v>
      </c>
      <c r="I6" s="7" t="s">
        <v>58</v>
      </c>
    </row>
  </sheetData>
  <autoFilter ref="A6:I7"/>
  <mergeCells count="2">
    <mergeCell ref="A1:F2"/>
    <mergeCell ref="A4:I4"/>
  </mergeCells>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Historical&amp;RPage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59</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0" t="s">
        <v>26</v>
      </c>
      <c r="B4" s="13" t="n">
        <f aca="false">IF(Assumptions!$B$4="bear",Assumptions!$B$20,IF(Assumptions!$B$4="base",Assumptions!$B$39,Assumptions!$B$58))</f>
        <v>0.1</v>
      </c>
    </row>
    <row r="5" customFormat="false" ht="22.5" hidden="false" customHeight="true" outlineLevel="0" collapsed="false">
      <c r="A5" s="0" t="s">
        <v>27</v>
      </c>
      <c r="B5" s="13" t="n">
        <f aca="false">IF(Assumptions!$B$4="bear",Assumptions!$B$21,IF(Assumptions!$B$4="base",Assumptions!$B$40,Assumptions!$B$59))</f>
        <v>0.5</v>
      </c>
    </row>
    <row r="6" customFormat="false" ht="22.5" hidden="false" customHeight="true" outlineLevel="0" collapsed="false">
      <c r="A6" s="0" t="s">
        <v>28</v>
      </c>
      <c r="B6" s="14" t="n">
        <f aca="false">IF(Assumptions!$B$4="bear",Assumptions!$B$22,IF(Assumptions!$B$4="base",Assumptions!$B$41,Assumptions!$B$60))</f>
        <v>0</v>
      </c>
    </row>
    <row r="7" customFormat="false" ht="22.5" hidden="false" customHeight="true" outlineLevel="0" collapsed="false">
      <c r="A7" s="0" t="s">
        <v>60</v>
      </c>
      <c r="B7" s="14" t="n">
        <f aca="false">IF(Assumptions!$B$4="bear",Assumptions!$B$23,IF(Assumptions!$B$4="base",Assumptions!$B$42,Assumptions!$B$61))</f>
        <v>2</v>
      </c>
    </row>
    <row r="8" customFormat="false" ht="22.5" hidden="false" customHeight="true" outlineLevel="0" collapsed="false">
      <c r="A8" s="0" t="s">
        <v>61</v>
      </c>
      <c r="B8" s="14" t="str">
        <f aca="false">IF(Assumptions!$B$4="bear","payable_sales",IF(Assumptions!$B$4="base","payable_sales","payable_sales"))</f>
        <v>payable_sales</v>
      </c>
    </row>
    <row r="9" customFormat="false" ht="22.5" hidden="false" customHeight="true" outlineLevel="0" collapsed="false">
      <c r="A9" s="7" t="s">
        <v>62</v>
      </c>
      <c r="C9" s="12" t="n">
        <f aca="false">YEAR(DATEVALUE(Assumptions!$B$12))+1</f>
        <v>2027</v>
      </c>
      <c r="D9" s="12" t="n">
        <f aca="false">YEAR(DATEVALUE(Assumptions!$B$12))+2</f>
        <v>2028</v>
      </c>
    </row>
    <row r="10" customFormat="false" ht="22.5" hidden="false" customHeight="true" outlineLevel="0" collapsed="false">
      <c r="A10" s="0" t="s">
        <v>63</v>
      </c>
      <c r="B10" s="10" t="s">
        <v>31</v>
      </c>
      <c r="C10" s="14" t="n">
        <f aca="false">IF(Assumptions!$B$4="bear",Assumptions!$C$25,IF(Assumptions!$B$4="base",Assumptions!$C$44,Assumptions!$C$63))</f>
        <v>10</v>
      </c>
      <c r="D10" s="14" t="n">
        <f aca="false">IF(Assumptions!$B$4="bear",Assumptions!$D$25,IF(Assumptions!$B$4="base",Assumptions!$D$44,Assumptions!$D$63))</f>
        <v>10</v>
      </c>
    </row>
    <row r="11" customFormat="false" ht="22.5" hidden="false" customHeight="true" outlineLevel="0" collapsed="false">
      <c r="A11" s="0" t="s">
        <v>32</v>
      </c>
      <c r="B11" s="10" t="s">
        <v>64</v>
      </c>
      <c r="C11" s="14" t="n">
        <f aca="false">IF(Assumptions!$B$4="bear",Assumptions!$C$26,IF(Assumptions!$B$4="base",Assumptions!$C$45,Assumptions!$C$64))</f>
        <v>100</v>
      </c>
      <c r="D11" s="14" t="n">
        <f aca="false">IF(Assumptions!$B$4="bear",Assumptions!$D$26,IF(Assumptions!$B$4="base",Assumptions!$D$45,Assumptions!$D$64))</f>
        <v>100</v>
      </c>
    </row>
    <row r="12" customFormat="false" ht="22.5" hidden="false" customHeight="true" outlineLevel="0" collapsed="false">
      <c r="A12" s="0" t="s">
        <v>34</v>
      </c>
      <c r="B12" s="10" t="s">
        <v>64</v>
      </c>
      <c r="C12" s="14" t="n">
        <f aca="false">IF(Assumptions!$B$4="bear",Assumptions!$C$27,IF(Assumptions!$B$4="base",Assumptions!$C$46,Assumptions!$C$65))</f>
        <v>1</v>
      </c>
      <c r="D12" s="14" t="n">
        <f aca="false">IF(Assumptions!$B$4="bear",Assumptions!$D$27,IF(Assumptions!$B$4="base",Assumptions!$D$46,Assumptions!$D$65))</f>
        <v>1</v>
      </c>
    </row>
    <row r="13" customFormat="false" ht="22.5" hidden="false" customHeight="true" outlineLevel="0" collapsed="false">
      <c r="A13" s="0" t="s">
        <v>36</v>
      </c>
      <c r="B13" s="10" t="s">
        <v>37</v>
      </c>
      <c r="C13" s="14" t="n">
        <f aca="false">IF(Assumptions!$B$4="bear",Assumptions!$C$28,IF(Assumptions!$B$4="base",Assumptions!$C$47,Assumptions!$C$66))</f>
        <v>40</v>
      </c>
      <c r="D13" s="14" t="n">
        <f aca="false">IF(Assumptions!$B$4="bear",Assumptions!$D$28,IF(Assumptions!$B$4="base",Assumptions!$D$47,Assumptions!$D$66))</f>
        <v>40</v>
      </c>
    </row>
    <row r="14" customFormat="false" ht="22.5" hidden="false" customHeight="true" outlineLevel="0" collapsed="false">
      <c r="A14" s="0" t="s">
        <v>38</v>
      </c>
      <c r="B14" s="10" t="s">
        <v>39</v>
      </c>
      <c r="C14" s="14" t="n">
        <f aca="false">IF(Assumptions!$B$4="bear",Assumptions!$C$29,IF(Assumptions!$B$4="base",Assumptions!$C$48,Assumptions!$C$67))</f>
        <v>0</v>
      </c>
      <c r="D14" s="14" t="n">
        <f aca="false">IF(Assumptions!$B$4="bear",Assumptions!$D$29,IF(Assumptions!$B$4="base",Assumptions!$D$48,Assumptions!$D$67))</f>
        <v>0</v>
      </c>
    </row>
    <row r="15" customFormat="false" ht="22.5" hidden="false" customHeight="true" outlineLevel="0" collapsed="false">
      <c r="A15" s="0" t="s">
        <v>40</v>
      </c>
      <c r="B15" s="10" t="s">
        <v>39</v>
      </c>
      <c r="C15" s="14" t="n">
        <f aca="false">IF(Assumptions!$B$4="bear",Assumptions!$C$30,IF(Assumptions!$B$4="base",Assumptions!$C$49,Assumptions!$C$68))</f>
        <v>0.25</v>
      </c>
      <c r="D15" s="14" t="n">
        <f aca="false">IF(Assumptions!$B$4="bear",Assumptions!$D$30,IF(Assumptions!$B$4="base",Assumptions!$D$49,Assumptions!$D$68))</f>
        <v>0.25</v>
      </c>
    </row>
    <row r="16" customFormat="false" ht="22.5" hidden="false" customHeight="true" outlineLevel="0" collapsed="false">
      <c r="A16" s="0" t="s">
        <v>41</v>
      </c>
      <c r="B16" s="10" t="s">
        <v>12</v>
      </c>
      <c r="C16" s="14" t="n">
        <f aca="false">IF(Assumptions!$B$4="bear",Assumptions!$C$31,IF(Assumptions!$B$4="base",Assumptions!$C$50,Assumptions!$C$69))</f>
        <v>0</v>
      </c>
      <c r="D16" s="14" t="n">
        <f aca="false">IF(Assumptions!$B$4="bear",Assumptions!$D$31,IF(Assumptions!$B$4="base",Assumptions!$D$50,Assumptions!$D$69))</f>
        <v>0</v>
      </c>
    </row>
    <row r="17" customFormat="false" ht="22.5" hidden="false" customHeight="true" outlineLevel="0" collapsed="false">
      <c r="A17" s="0" t="s">
        <v>42</v>
      </c>
      <c r="B17" s="10" t="s">
        <v>12</v>
      </c>
      <c r="C17" s="14" t="n">
        <f aca="false">IF(Assumptions!$B$4="bear",Assumptions!$C$32,IF(Assumptions!$B$4="base",Assumptions!$C$51,Assumptions!$C$70))</f>
        <v>100</v>
      </c>
      <c r="D17" s="14" t="n">
        <f aca="false">IF(Assumptions!$B$4="bear",Assumptions!$D$32,IF(Assumptions!$B$4="base",Assumptions!$D$51,Assumptions!$D$70))</f>
        <v>100</v>
      </c>
    </row>
    <row r="18" customFormat="false" ht="22.5" hidden="false" customHeight="true" outlineLevel="0" collapsed="false">
      <c r="A18" s="0" t="s">
        <v>43</v>
      </c>
      <c r="B18" s="10" t="s">
        <v>12</v>
      </c>
      <c r="C18" s="14" t="n">
        <f aca="false">IF(Assumptions!$B$4="bear",Assumptions!$C$33,IF(Assumptions!$B$4="base",Assumptions!$C$52,Assumptions!$C$71))</f>
        <v>0</v>
      </c>
      <c r="D18" s="14" t="n">
        <f aca="false">IF(Assumptions!$B$4="bear",Assumptions!$D$33,IF(Assumptions!$B$4="base",Assumptions!$D$52,Assumptions!$D$71))</f>
        <v>0</v>
      </c>
    </row>
    <row r="19" customFormat="false" ht="22.5" hidden="false" customHeight="true" outlineLevel="0" collapsed="false">
      <c r="A19" s="0" t="s">
        <v>44</v>
      </c>
      <c r="B19" s="10" t="s">
        <v>12</v>
      </c>
      <c r="C19" s="14" t="n">
        <f aca="false">IF(Assumptions!$B$4="bear",Assumptions!$C$34,IF(Assumptions!$B$4="base",Assumptions!$C$53,Assumptions!$C$72))</f>
        <v>0</v>
      </c>
      <c r="D19" s="14" t="n">
        <f aca="false">IF(Assumptions!$B$4="bear",Assumptions!$D$34,IF(Assumptions!$B$4="base",Assumptions!$D$53,Assumptions!$D$72))</f>
        <v>50</v>
      </c>
    </row>
    <row r="20" customFormat="false" ht="22.5" hidden="false" customHeight="true" outlineLevel="0" collapsed="false">
      <c r="A20" s="0" t="s">
        <v>45</v>
      </c>
      <c r="B20" s="10" t="s">
        <v>12</v>
      </c>
      <c r="C20" s="14" t="n">
        <f aca="false">IF(Assumptions!$B$4="bear",Assumptions!$C$35,IF(Assumptions!$B$4="base",Assumptions!$C$54,Assumptions!$C$73))</f>
        <v>0</v>
      </c>
      <c r="D20" s="14" t="n">
        <f aca="false">IF(Assumptions!$B$4="bear",Assumptions!$D$35,IF(Assumptions!$B$4="base",Assumptions!$D$54,Assumptions!$D$73))</f>
        <v>0</v>
      </c>
    </row>
    <row r="23" customFormat="false" ht="22.5" hidden="false" customHeight="true" outlineLevel="0" collapsed="false">
      <c r="A23" s="15" t="s">
        <v>65</v>
      </c>
      <c r="B23" s="10" t="s">
        <v>12</v>
      </c>
      <c r="C23" s="16" t="n">
        <f aca="false">Operating!$C$10*Operating!$C$11*Operating!$C$12</f>
        <v>1000</v>
      </c>
      <c r="D23" s="16" t="n">
        <f aca="false">Operating!$D$10*Operating!$D$11*Operating!$D$12</f>
        <v>1000</v>
      </c>
    </row>
    <row r="24" customFormat="false" ht="22.5" hidden="false" customHeight="true" outlineLevel="0" collapsed="false">
      <c r="A24" s="15" t="s">
        <v>66</v>
      </c>
      <c r="B24" s="10" t="s">
        <v>12</v>
      </c>
      <c r="C24" s="16" t="n">
        <f aca="false">Operating!$C$10*Operating!$C$13</f>
        <v>400</v>
      </c>
      <c r="D24" s="16" t="n">
        <f aca="false">Operating!$D$10*Operating!$D$13</f>
        <v>400</v>
      </c>
    </row>
    <row r="25" customFormat="false" ht="22.5" hidden="false" customHeight="true" outlineLevel="0" collapsed="false">
      <c r="A25" s="15" t="s">
        <v>67</v>
      </c>
      <c r="B25" s="10" t="s">
        <v>12</v>
      </c>
      <c r="C25" s="16" t="n">
        <f aca="false">Operating!$C$23*Operating!$C$14</f>
        <v>0</v>
      </c>
      <c r="D25" s="16" t="n">
        <f aca="false">Operating!$D$23*Operating!$D$14</f>
        <v>0</v>
      </c>
    </row>
    <row r="26" customFormat="false" ht="22.5" hidden="false" customHeight="true" outlineLevel="0" collapsed="false">
      <c r="A26" s="15" t="s">
        <v>68</v>
      </c>
      <c r="B26" s="10" t="s">
        <v>12</v>
      </c>
      <c r="C26" s="16" t="n">
        <f aca="false">Operating!$C$23-Operating!$C$24-Operating!$C$25-Operating!$C$16</f>
        <v>600</v>
      </c>
      <c r="D26" s="16" t="n">
        <f aca="false">Operating!$D$23-Operating!$D$24-Operating!$D$25-Operating!$D$16</f>
        <v>600</v>
      </c>
    </row>
    <row r="27" customFormat="false" ht="22.5" hidden="false" customHeight="true" outlineLevel="0" collapsed="false">
      <c r="A27" s="15" t="s">
        <v>69</v>
      </c>
      <c r="B27" s="10" t="s">
        <v>12</v>
      </c>
      <c r="C27" s="16" t="n">
        <f aca="false">MAX(0,Operating!$C$26)*Operating!$C$15</f>
        <v>150</v>
      </c>
      <c r="D27" s="16" t="n">
        <f aca="false">MAX(0,Operating!$D$26)*Operating!$D$15</f>
        <v>150</v>
      </c>
    </row>
    <row r="28" customFormat="false" ht="22.5" hidden="false" customHeight="true" outlineLevel="0" collapsed="false">
      <c r="A28" s="15" t="s">
        <v>70</v>
      </c>
      <c r="B28" s="10" t="s">
        <v>12</v>
      </c>
      <c r="C28" s="16" t="n">
        <f aca="false">Operating!$C$26-Operating!$C$27</f>
        <v>450</v>
      </c>
      <c r="D28" s="16" t="n">
        <f aca="false">Operating!$D$26-Operating!$D$27</f>
        <v>450</v>
      </c>
    </row>
    <row r="29" customFormat="false" ht="22.5" hidden="false" customHeight="true" outlineLevel="0" collapsed="false">
      <c r="A29" s="15" t="s">
        <v>71</v>
      </c>
      <c r="B29" s="10" t="s">
        <v>12</v>
      </c>
      <c r="C29" s="16" t="n">
        <f aca="false">Operating!$C$28+Operating!$C$16-Operating!$C$17-Operating!$C$18-Operating!$C$19</f>
        <v>350</v>
      </c>
      <c r="D29" s="16" t="n">
        <f aca="false">Operating!$D$28+Operating!$D$16-Operating!$D$17-Operating!$D$18-Operating!$D$19</f>
        <v>300</v>
      </c>
    </row>
    <row r="30" customFormat="false" ht="22.5" hidden="false" customHeight="true" outlineLevel="0" collapsed="false">
      <c r="A30" s="7" t="s">
        <v>72</v>
      </c>
      <c r="B30" s="10" t="s">
        <v>12</v>
      </c>
      <c r="C30" s="17" t="n">
        <f aca="false">Operating!$C$29*Operating!$B$5-Operating!$C$20+IF(1=Operating!$B$7,Operating!$B$6,0)</f>
        <v>175</v>
      </c>
      <c r="D30" s="17" t="n">
        <f aca="false">Operating!$D$29*Operating!$B$5-Operating!$D$20+IF(2=Operating!$B$7,Operating!$B$6,0)</f>
        <v>150</v>
      </c>
    </row>
    <row r="31" customFormat="false" ht="22.5" hidden="false" customHeight="true" outlineLevel="0" collapsed="false">
      <c r="A31" s="7" t="s">
        <v>73</v>
      </c>
      <c r="B31" s="10" t="s">
        <v>12</v>
      </c>
      <c r="C31" s="17" t="n">
        <f aca="false">Operating!$C$30/(1+Operating!$B$4)^1</f>
        <v>159.090909090909</v>
      </c>
      <c r="D31" s="17" t="n">
        <f aca="false">Operating!$D$30/(1+Operating!$B$4)^2</f>
        <v>123.96694214876</v>
      </c>
    </row>
    <row r="32" customFormat="false" ht="22.5" hidden="false" customHeight="true" outlineLevel="0" collapsed="false">
      <c r="A32" s="15" t="s">
        <v>74</v>
      </c>
      <c r="B32" s="10" t="s">
        <v>12</v>
      </c>
      <c r="C32" s="17" t="n">
        <f aca="false">Assumptions!$B$7+Operating!$C$30</f>
        <v>275</v>
      </c>
      <c r="D32" s="17" t="n">
        <f aca="false">Operating!$C$32+Operating!$D$30</f>
        <v>425</v>
      </c>
    </row>
    <row r="34" customFormat="false" ht="22.5" hidden="false" customHeight="true" outlineLevel="0" collapsed="false">
      <c r="A34" s="6" t="s">
        <v>75</v>
      </c>
      <c r="B34" s="6"/>
      <c r="C34" s="6"/>
      <c r="D34" s="6"/>
      <c r="E34" s="6"/>
      <c r="F34" s="6"/>
    </row>
    <row r="35" customFormat="false" ht="22.5" hidden="false" customHeight="true" outlineLevel="0" collapsed="false">
      <c r="A35" s="6"/>
      <c r="B35" s="6"/>
      <c r="C35" s="6"/>
      <c r="D35" s="6"/>
      <c r="E35" s="6"/>
      <c r="F35" s="6"/>
    </row>
  </sheetData>
  <mergeCells count="2">
    <mergeCell ref="A1:F2"/>
    <mergeCell ref="A34:F35"/>
  </mergeCells>
  <printOptions headings="false" gridLines="false" gridLinesSet="true" horizontalCentered="false" verticalCentered="false"/>
  <pageMargins left="0.3" right="0.3" top="0.4" bottom="0.4"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&amp;Ldemo-mine | Operating&amp;RPage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76</v>
      </c>
      <c r="B1" s="1"/>
      <c r="C1" s="1"/>
      <c r="D1" s="1"/>
      <c r="E1" s="1"/>
      <c r="F1" s="1"/>
    </row>
    <row r="2" customFormat="false" ht="22.5" hidden="false" customHeight="true" outlineLevel="0" collapsed="false">
      <c r="A2" s="1"/>
      <c r="B2" s="1"/>
      <c r="C2" s="1"/>
      <c r="D2" s="1"/>
      <c r="E2" s="1"/>
      <c r="F2" s="1"/>
    </row>
    <row r="5" customFormat="false" ht="22.5" hidden="false" customHeight="true" outlineLevel="0" collapsed="false">
      <c r="A5" s="0" t="s">
        <v>77</v>
      </c>
      <c r="B5" s="14" t="n">
        <f aca="false">SUM(Operating!C31:D31)</f>
        <v>283.057851239669</v>
      </c>
      <c r="C5" s="10" t="s">
        <v>12</v>
      </c>
    </row>
    <row r="6" customFormat="false" ht="22.5" hidden="false" customHeight="true" outlineLevel="0" collapsed="false">
      <c r="A6" s="0" t="s">
        <v>11</v>
      </c>
      <c r="B6" s="14" t="n">
        <f aca="false">Assumptions!$B$7</f>
        <v>100</v>
      </c>
      <c r="C6" s="10" t="s">
        <v>12</v>
      </c>
    </row>
    <row r="7" customFormat="false" ht="22.5" hidden="false" customHeight="true" outlineLevel="0" collapsed="false">
      <c r="A7" s="0" t="s">
        <v>14</v>
      </c>
      <c r="B7" s="14" t="n">
        <f aca="false">Assumptions!$B$9</f>
        <v>0</v>
      </c>
      <c r="C7" s="10" t="s">
        <v>12</v>
      </c>
    </row>
    <row r="8" customFormat="false" ht="22.5" hidden="false" customHeight="true" outlineLevel="0" collapsed="false">
      <c r="A8" s="0" t="s">
        <v>13</v>
      </c>
      <c r="B8" s="14" t="n">
        <f aca="false">Assumptions!$B$8</f>
        <v>20</v>
      </c>
      <c r="C8" s="10" t="s">
        <v>12</v>
      </c>
    </row>
    <row r="9" customFormat="false" ht="22.5" hidden="false" customHeight="true" outlineLevel="0" collapsed="false">
      <c r="A9" s="0" t="s">
        <v>78</v>
      </c>
      <c r="B9" s="14" t="n">
        <f aca="false">B5+B6+B7-B8</f>
        <v>363.057851239669</v>
      </c>
      <c r="C9" s="10" t="s">
        <v>12</v>
      </c>
    </row>
    <row r="10" customFormat="false" ht="22.5" hidden="false" customHeight="true" outlineLevel="0" collapsed="false">
      <c r="A10" s="0" t="s">
        <v>15</v>
      </c>
      <c r="B10" s="14" t="n">
        <f aca="false">Assumptions!$B$10</f>
        <v>100</v>
      </c>
      <c r="C10" s="10" t="s">
        <v>16</v>
      </c>
    </row>
    <row r="11" customFormat="false" ht="22.5" hidden="false" customHeight="true" outlineLevel="0" collapsed="false">
      <c r="A11" s="0" t="s">
        <v>79</v>
      </c>
      <c r="B11" s="3" t="n">
        <f aca="false">B9/B10</f>
        <v>3.63057851239669</v>
      </c>
      <c r="C11" s="10" t="s">
        <v>18</v>
      </c>
    </row>
    <row r="12" customFormat="false" ht="22.5" hidden="false" customHeight="true" outlineLevel="0" collapsed="false">
      <c r="A12" s="0" t="s">
        <v>80</v>
      </c>
      <c r="B12" s="14" t="n">
        <f aca="false">MIN(Assumptions!$B$7,Operating!C32:D32)</f>
        <v>100</v>
      </c>
      <c r="C12" s="10" t="s">
        <v>12</v>
      </c>
    </row>
    <row r="15" customFormat="false" ht="22.5" hidden="false" customHeight="true" outlineLevel="0" collapsed="false">
      <c r="A15" s="0" t="s">
        <v>81</v>
      </c>
      <c r="B15" s="14" t="n">
        <f aca="false">IF(Assumptions!$B$11="","Unavailable",Assumptions!$B$11)</f>
        <v>2</v>
      </c>
    </row>
    <row r="16" customFormat="false" ht="22.5" hidden="false" customHeight="true" outlineLevel="0" collapsed="false">
      <c r="A16" s="0" t="s">
        <v>82</v>
      </c>
      <c r="B16" s="13" t="n">
        <f aca="false">IF(AND(ISNUMBER(B15),B15&gt;0),B11/B15-1,"Unavailable")</f>
        <v>0.815289256198347</v>
      </c>
    </row>
    <row r="19" customFormat="false" ht="22.5" hidden="false" customHeight="true" outlineLevel="0" collapsed="false">
      <c r="A19" s="6" t="s">
        <v>83</v>
      </c>
      <c r="B19" s="6"/>
      <c r="C19" s="6"/>
      <c r="D19" s="6"/>
      <c r="E19" s="6"/>
      <c r="F19" s="6"/>
    </row>
    <row r="20" customFormat="false" ht="22.5" hidden="false" customHeight="true" outlineLevel="0" collapsed="false">
      <c r="A20" s="6"/>
      <c r="B20" s="6"/>
      <c r="C20" s="6"/>
      <c r="D20" s="6"/>
      <c r="E20" s="6"/>
      <c r="F20" s="6"/>
    </row>
    <row r="21" customFormat="false" ht="22.5" hidden="false" customHeight="true" outlineLevel="0" collapsed="false">
      <c r="A21" s="6"/>
      <c r="B21" s="6"/>
      <c r="C21" s="6"/>
      <c r="D21" s="6"/>
      <c r="E21" s="6"/>
      <c r="F21" s="6"/>
    </row>
  </sheetData>
  <mergeCells count="2">
    <mergeCell ref="A1:F2"/>
    <mergeCell ref="A19:F21"/>
  </mergeCells>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Valuation&amp;RPage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84</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6" t="s">
        <v>85</v>
      </c>
      <c r="B4" s="6"/>
      <c r="C4" s="6"/>
      <c r="D4" s="6"/>
      <c r="E4" s="6"/>
      <c r="F4" s="6"/>
    </row>
    <row r="5" customFormat="false" ht="22.5" hidden="false" customHeight="true" outlineLevel="0" collapsed="false">
      <c r="A5" s="6"/>
      <c r="B5" s="6"/>
      <c r="C5" s="6"/>
      <c r="D5" s="6"/>
      <c r="E5" s="6"/>
      <c r="F5" s="6"/>
    </row>
    <row r="7" customFormat="false" ht="22.5" hidden="false" customHeight="true" outlineLevel="0" collapsed="false">
      <c r="C7" s="13" t="n">
        <f aca="false">MAX(0,Operating!$B$4+(-0.02))</f>
        <v>0.08</v>
      </c>
      <c r="D7" s="13" t="n">
        <f aca="false">MAX(0,Operating!$B$4+(0))</f>
        <v>0.1</v>
      </c>
      <c r="E7" s="13" t="n">
        <f aca="false">MAX(0,Operating!$B$4+(0.02))</f>
        <v>0.12</v>
      </c>
    </row>
    <row r="8" customFormat="false" ht="22.5" hidden="false" customHeight="true" outlineLevel="0" collapsed="false">
      <c r="B8" s="16" t="n">
        <v>0.8</v>
      </c>
      <c r="C8" s="3" t="n">
        <f aca="false">(SUM(C17:D17)+Assumptions!$B$7+Assumptions!$B$9-Assumptions!$B$8)/Assumptions!$B$10</f>
        <v>2.36893004115226</v>
      </c>
      <c r="D8" s="3" t="n">
        <f aca="false">(SUM(C18:D18)+Assumptions!$B$7+Assumptions!$B$9-Assumptions!$B$8)/Assumptions!$B$10</f>
        <v>2.32892561983471</v>
      </c>
      <c r="E8" s="3" t="n">
        <f aca="false">(SUM(C19:D19)+Assumptions!$B$7+Assumptions!$B$9-Assumptions!$B$8)/Assumptions!$B$10</f>
        <v>2.29075255102041</v>
      </c>
    </row>
    <row r="9" customFormat="false" ht="22.5" hidden="false" customHeight="true" outlineLevel="0" collapsed="false">
      <c r="B9" s="16" t="n">
        <v>1</v>
      </c>
      <c r="C9" s="3" t="n">
        <f aca="false">(SUM(C20:D20)+Assumptions!$B$7+Assumptions!$B$9-Assumptions!$B$8)/Assumptions!$B$10</f>
        <v>3.70637860082305</v>
      </c>
      <c r="D9" s="3" t="n">
        <f aca="false">(SUM(C21:D21)+Assumptions!$B$7+Assumptions!$B$9-Assumptions!$B$8)/Assumptions!$B$10</f>
        <v>3.63057851239669</v>
      </c>
      <c r="E9" s="3" t="n">
        <f aca="false">(SUM(C22:D22)+Assumptions!$B$7+Assumptions!$B$9-Assumptions!$B$8)/Assumptions!$B$10</f>
        <v>3.55829081632653</v>
      </c>
    </row>
    <row r="10" customFormat="false" ht="22.5" hidden="false" customHeight="true" outlineLevel="0" collapsed="false">
      <c r="B10" s="16" t="n">
        <v>1.2</v>
      </c>
      <c r="C10" s="3" t="n">
        <f aca="false">(SUM(C23:D23)+Assumptions!$B$7+Assumptions!$B$9-Assumptions!$B$8)/Assumptions!$B$10</f>
        <v>5.04382716049383</v>
      </c>
      <c r="D10" s="3" t="n">
        <f aca="false">(SUM(C24:D24)+Assumptions!$B$7+Assumptions!$B$9-Assumptions!$B$8)/Assumptions!$B$10</f>
        <v>4.93223140495868</v>
      </c>
      <c r="E10" s="3" t="n">
        <f aca="false">(SUM(C25:D25)+Assumptions!$B$7+Assumptions!$B$9-Assumptions!$B$8)/Assumptions!$B$10</f>
        <v>4.82582908163265</v>
      </c>
    </row>
    <row r="15" customFormat="false" ht="22.5" hidden="false" customHeight="true" outlineLevel="0" collapsed="false">
      <c r="A15" s="7" t="s">
        <v>86</v>
      </c>
    </row>
    <row r="17" customFormat="false" ht="22.5" hidden="false" customHeight="true" outlineLevel="0" collapsed="false">
      <c r="A17" s="10" t="s">
        <v>87</v>
      </c>
      <c r="C17" s="14"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f>
        <v>92.5925925925926</v>
      </c>
      <c r="D17" s="14"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f>
        <v>64.3004115226337</v>
      </c>
    </row>
    <row r="18" customFormat="false" ht="22.5" hidden="false" customHeight="true" outlineLevel="0" collapsed="false">
      <c r="A18" s="10" t="s">
        <v>88</v>
      </c>
      <c r="C18" s="14"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f>
        <v>90.9090909090909</v>
      </c>
      <c r="D18" s="14"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f>
        <v>61.9834710743802</v>
      </c>
    </row>
    <row r="19" customFormat="false" ht="22.5" hidden="false" customHeight="true" outlineLevel="0" collapsed="false">
      <c r="A19" s="10" t="s">
        <v>89</v>
      </c>
      <c r="C19" s="14"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f>
        <v>89.2857142857143</v>
      </c>
      <c r="D19" s="14"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f>
        <v>59.7895408163265</v>
      </c>
    </row>
    <row r="20" customFormat="false" ht="22.5" hidden="false" customHeight="true" outlineLevel="0" collapsed="false">
      <c r="A20" s="10" t="s">
        <v>90</v>
      </c>
      <c r="C20" s="14"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f>
        <v>162.037037037037</v>
      </c>
      <c r="D20" s="14"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f>
        <v>128.600823045267</v>
      </c>
    </row>
    <row r="21" customFormat="false" ht="22.5" hidden="false" customHeight="true" outlineLevel="0" collapsed="false">
      <c r="A21" s="10" t="s">
        <v>91</v>
      </c>
      <c r="C21" s="14"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f>
        <v>159.090909090909</v>
      </c>
      <c r="D21" s="14"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f>
        <v>123.96694214876</v>
      </c>
    </row>
    <row r="22" customFormat="false" ht="22.5" hidden="false" customHeight="true" outlineLevel="0" collapsed="false">
      <c r="A22" s="10" t="s">
        <v>92</v>
      </c>
      <c r="C22" s="14"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f>
        <v>156.25</v>
      </c>
      <c r="D22" s="14"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f>
        <v>119.579081632653</v>
      </c>
    </row>
    <row r="23" customFormat="false" ht="22.5" hidden="false" customHeight="true" outlineLevel="0" collapsed="false">
      <c r="A23" s="10" t="s">
        <v>93</v>
      </c>
      <c r="C23" s="14"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f>
        <v>231.481481481481</v>
      </c>
      <c r="D23" s="14"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f>
        <v>192.901234567901</v>
      </c>
    </row>
    <row r="24" customFormat="false" ht="22.5" hidden="false" customHeight="true" outlineLevel="0" collapsed="false">
      <c r="A24" s="10" t="s">
        <v>94</v>
      </c>
      <c r="C24" s="14"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f>
        <v>227.272727272727</v>
      </c>
      <c r="D24" s="14"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f>
        <v>185.95041322314</v>
      </c>
    </row>
    <row r="25" customFormat="false" ht="22.5" hidden="false" customHeight="true" outlineLevel="0" collapsed="false">
      <c r="A25" s="10" t="s">
        <v>95</v>
      </c>
      <c r="C25" s="14"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f>
        <v>223.214285714286</v>
      </c>
      <c r="D25" s="14"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f>
        <v>179.36862244898</v>
      </c>
    </row>
  </sheetData>
  <mergeCells count="2">
    <mergeCell ref="A1:F2"/>
    <mergeCell ref="A4:F5"/>
  </mergeCells>
  <conditionalFormatting sqref="C8:E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Sensitivities&amp;RPage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96</v>
      </c>
      <c r="B1" s="1"/>
      <c r="C1" s="1"/>
      <c r="D1" s="1"/>
      <c r="E1" s="1"/>
      <c r="F1" s="1"/>
    </row>
    <row r="2" customFormat="false" ht="22.5" hidden="false" customHeight="true" outlineLevel="0" collapsed="false">
      <c r="A2" s="1"/>
      <c r="B2" s="1"/>
      <c r="C2" s="1"/>
      <c r="D2" s="1"/>
      <c r="E2" s="1"/>
      <c r="F2" s="1"/>
    </row>
    <row r="5" customFormat="false" ht="22.5" hidden="false" customHeight="true" outlineLevel="0" collapsed="false">
      <c r="A5" s="0" t="s">
        <v>97</v>
      </c>
      <c r="B5" s="16" t="str">
        <f aca="false">IF(OR(Assumptions!B4="bear",Assumptions!B4="base",Assumptions!B4="bull"),"PASS","FAIL")</f>
        <v>PASS</v>
      </c>
    </row>
    <row r="6" customFormat="false" ht="22.5" hidden="false" customHeight="true" outlineLevel="0" collapsed="false">
      <c r="A6" s="0" t="s">
        <v>98</v>
      </c>
      <c r="B6" s="16" t="str">
        <f aca="false">IF(Assumptions!$B$10&gt;0,"PASS","FAIL")</f>
        <v>PASS</v>
      </c>
    </row>
    <row r="7" customFormat="false" ht="22.5" hidden="false" customHeight="true" outlineLevel="0" collapsed="false">
      <c r="A7" s="0" t="s">
        <v>99</v>
      </c>
      <c r="B7" s="16" t="str">
        <f aca="false">IF(ABS(Valuation!B9-(Valuation!B5+Valuation!B6+Valuation!B7-Valuation!B8))&lt;0.01,"PASS","FAIL")</f>
        <v>PASS</v>
      </c>
    </row>
    <row r="8" customFormat="false" ht="22.5" hidden="false" customHeight="true" outlineLevel="0" collapsed="false">
      <c r="A8" s="0" t="s">
        <v>100</v>
      </c>
      <c r="B8" s="16" t="str">
        <f aca="false">IF(ABS(Sensitivities!D9-Valuation!B11)&lt;0.000001,"PASS","FAIL")</f>
        <v>PASS</v>
      </c>
    </row>
    <row r="9" customFormat="false" ht="22.5" hidden="false" customHeight="true" outlineLevel="0" collapsed="false">
      <c r="A9" s="0" t="s">
        <v>101</v>
      </c>
      <c r="B9" s="16" t="str">
        <f aca="false">IF(OR(AND(Assumptions!$B$11="",Assumptions!$B$13=""),AND(ISNUMBER(Assumptions!$B$11),Assumptions!$B$11&gt;0,Assumptions!$B$13&lt;&gt;"")),"PASS","FAIL")</f>
        <v>PASS</v>
      </c>
    </row>
    <row r="10" customFormat="false" ht="22.5" hidden="false" customHeight="true" outlineLevel="0" collapsed="false">
      <c r="A10" s="0" t="s">
        <v>102</v>
      </c>
      <c r="B10" s="16" t="str">
        <f aca="false">IF(AND(Operating!$B$5&gt;=0,Operating!$B$5&lt;=1),"PASS","FAIL")</f>
        <v>PASS</v>
      </c>
    </row>
    <row r="13" customFormat="false" ht="22.5" hidden="false" customHeight="true" outlineLevel="0" collapsed="false">
      <c r="A13" s="6" t="s">
        <v>103</v>
      </c>
      <c r="B13" s="6"/>
      <c r="C13" s="6"/>
      <c r="D13" s="6"/>
      <c r="E13" s="6"/>
      <c r="F13" s="6"/>
    </row>
    <row r="14" customFormat="false" ht="22.5" hidden="false" customHeight="true" outlineLevel="0" collapsed="false">
      <c r="A14" s="6"/>
      <c r="B14" s="6"/>
      <c r="C14" s="6"/>
      <c r="D14" s="6"/>
      <c r="E14" s="6"/>
      <c r="F14" s="6"/>
    </row>
    <row r="15" customFormat="false" ht="22.5" hidden="false" customHeight="true" outlineLevel="0" collapsed="false">
      <c r="A15" s="6"/>
      <c r="B15" s="6"/>
      <c r="C15" s="6"/>
      <c r="D15" s="6"/>
      <c r="E15" s="6"/>
      <c r="F15" s="6"/>
    </row>
  </sheetData>
  <mergeCells count="2">
    <mergeCell ref="A1:F2"/>
    <mergeCell ref="A13:F15"/>
  </mergeCells>
  <conditionalFormatting sqref="B5:B10">
    <cfRule type="containsText" priority="2" operator="containsText" aboveAverage="0" equalAverage="0" bottom="0" percent="0" rank="0" text="PASS" dxfId="2">
      <formula>NOT(ISERROR(SEARCH("PASS",B5)))</formula>
    </cfRule>
    <cfRule type="containsText" priority="3" operator="containsText" aboveAverage="0" equalAverage="0" bottom="0" percent="0" rank="0" text="FAIL" dxfId="3">
      <formula>NOT(ISERROR(SEARCH("FAIL",B5)))</formula>
    </cfRule>
  </conditionalFormatting>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Checks&amp;RPage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H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104</v>
      </c>
      <c r="B1" s="1"/>
      <c r="C1" s="1"/>
      <c r="D1" s="1"/>
      <c r="E1" s="1"/>
      <c r="F1" s="1"/>
    </row>
    <row r="2" customFormat="false" ht="22.5" hidden="false" customHeight="true" outlineLevel="0" collapsed="false">
      <c r="A2" s="1"/>
      <c r="B2" s="1"/>
      <c r="C2" s="1"/>
      <c r="D2" s="1"/>
      <c r="E2" s="1"/>
      <c r="F2" s="1"/>
    </row>
    <row r="5" customFormat="false" ht="22.5" hidden="false" customHeight="true" outlineLevel="0" collapsed="false">
      <c r="A5" s="5" t="s">
        <v>105</v>
      </c>
      <c r="B5" s="5"/>
      <c r="C5" s="5"/>
      <c r="D5" s="5"/>
      <c r="E5" s="5"/>
      <c r="F5" s="5"/>
      <c r="G5" s="5"/>
      <c r="H5" s="5"/>
    </row>
    <row r="6" customFormat="false" ht="22.5" hidden="false" customHeight="true" outlineLevel="0" collapsed="false">
      <c r="A6" s="5"/>
      <c r="B6" s="5"/>
      <c r="C6" s="5"/>
      <c r="D6" s="5"/>
      <c r="E6" s="5"/>
      <c r="F6" s="5"/>
      <c r="G6" s="5"/>
      <c r="H6" s="5"/>
    </row>
    <row r="7" customFormat="false" ht="22.5" hidden="false" customHeight="true" outlineLevel="0" collapsed="false">
      <c r="A7" s="5"/>
      <c r="B7" s="5"/>
      <c r="C7" s="5"/>
      <c r="D7" s="5"/>
      <c r="E7" s="5"/>
      <c r="F7" s="5"/>
      <c r="G7" s="5"/>
      <c r="H7" s="5"/>
    </row>
    <row r="9" customFormat="false" ht="22.5" hidden="false" customHeight="true" outlineLevel="0" collapsed="false">
      <c r="A9" s="5" t="s">
        <v>106</v>
      </c>
      <c r="B9" s="5"/>
      <c r="C9" s="5"/>
      <c r="D9" s="5"/>
      <c r="E9" s="5"/>
      <c r="F9" s="5"/>
      <c r="G9" s="5"/>
      <c r="H9" s="5"/>
    </row>
    <row r="10" customFormat="false" ht="22.5" hidden="false" customHeight="true" outlineLevel="0" collapsed="false">
      <c r="A10" s="5"/>
      <c r="B10" s="5"/>
      <c r="C10" s="5"/>
      <c r="D10" s="5"/>
      <c r="E10" s="5"/>
      <c r="F10" s="5"/>
      <c r="G10" s="5"/>
      <c r="H10" s="5"/>
    </row>
    <row r="11" customFormat="false" ht="22.5" hidden="false" customHeight="true" outlineLevel="0" collapsed="false">
      <c r="A11" s="5"/>
      <c r="B11" s="5"/>
      <c r="C11" s="5"/>
      <c r="D11" s="5"/>
      <c r="E11" s="5"/>
      <c r="F11" s="5"/>
      <c r="G11" s="5"/>
      <c r="H11" s="5"/>
    </row>
    <row r="13" customFormat="false" ht="22.5" hidden="false" customHeight="true" outlineLevel="0" collapsed="false">
      <c r="A13" s="5" t="s">
        <v>107</v>
      </c>
      <c r="B13" s="5"/>
      <c r="C13" s="5"/>
      <c r="D13" s="5"/>
      <c r="E13" s="5"/>
      <c r="F13" s="5"/>
      <c r="G13" s="5"/>
      <c r="H13" s="5"/>
    </row>
    <row r="14" customFormat="false" ht="22.5" hidden="false" customHeight="true" outlineLevel="0" collapsed="false">
      <c r="A14" s="5"/>
      <c r="B14" s="5"/>
      <c r="C14" s="5"/>
      <c r="D14" s="5"/>
      <c r="E14" s="5"/>
      <c r="F14" s="5"/>
      <c r="G14" s="5"/>
      <c r="H14" s="5"/>
    </row>
    <row r="15" customFormat="false" ht="22.5" hidden="false" customHeight="true" outlineLevel="0" collapsed="false">
      <c r="A15" s="5"/>
      <c r="B15" s="5"/>
      <c r="C15" s="5"/>
      <c r="D15" s="5"/>
      <c r="E15" s="5"/>
      <c r="F15" s="5"/>
      <c r="G15" s="5"/>
      <c r="H15" s="5"/>
    </row>
    <row r="17" customFormat="false" ht="22.5" hidden="false" customHeight="true" outlineLevel="0" collapsed="false">
      <c r="A17" s="5" t="s">
        <v>108</v>
      </c>
      <c r="B17" s="5"/>
      <c r="C17" s="5"/>
      <c r="D17" s="5"/>
      <c r="E17" s="5"/>
      <c r="F17" s="5"/>
      <c r="G17" s="5"/>
      <c r="H17" s="5"/>
    </row>
    <row r="18" customFormat="false" ht="22.5" hidden="false" customHeight="true" outlineLevel="0" collapsed="false">
      <c r="A18" s="5"/>
      <c r="B18" s="5"/>
      <c r="C18" s="5"/>
      <c r="D18" s="5"/>
      <c r="E18" s="5"/>
      <c r="F18" s="5"/>
      <c r="G18" s="5"/>
      <c r="H18" s="5"/>
    </row>
    <row r="19" customFormat="false" ht="22.5" hidden="false" customHeight="true" outlineLevel="0" collapsed="false">
      <c r="A19" s="5"/>
      <c r="B19" s="5"/>
      <c r="C19" s="5"/>
      <c r="D19" s="5"/>
      <c r="E19" s="5"/>
      <c r="F19" s="5"/>
      <c r="G19" s="5"/>
      <c r="H19" s="5"/>
    </row>
    <row r="21" customFormat="false" ht="22.5" hidden="false" customHeight="true" outlineLevel="0" collapsed="false">
      <c r="A21" s="5" t="s">
        <v>109</v>
      </c>
      <c r="B21" s="5"/>
      <c r="C21" s="5"/>
      <c r="D21" s="5"/>
      <c r="E21" s="5"/>
      <c r="F21" s="5"/>
      <c r="G21" s="5"/>
      <c r="H21" s="5"/>
    </row>
    <row r="22" customFormat="false" ht="22.5" hidden="false" customHeight="true" outlineLevel="0" collapsed="false">
      <c r="A22" s="5"/>
      <c r="B22" s="5"/>
      <c r="C22" s="5"/>
      <c r="D22" s="5"/>
      <c r="E22" s="5"/>
      <c r="F22" s="5"/>
      <c r="G22" s="5"/>
      <c r="H22" s="5"/>
    </row>
    <row r="23" customFormat="false" ht="22.5" hidden="false" customHeight="true" outlineLevel="0" collapsed="false">
      <c r="A23" s="5"/>
      <c r="B23" s="5"/>
      <c r="C23" s="5"/>
      <c r="D23" s="5"/>
      <c r="E23" s="5"/>
      <c r="F23" s="5"/>
      <c r="G23" s="5"/>
      <c r="H23" s="5"/>
    </row>
    <row r="25" customFormat="false" ht="22.5" hidden="false" customHeight="true" outlineLevel="0" collapsed="false">
      <c r="A25" s="5" t="s">
        <v>110</v>
      </c>
      <c r="B25" s="5"/>
      <c r="C25" s="5"/>
      <c r="D25" s="5"/>
      <c r="E25" s="5"/>
      <c r="F25" s="5"/>
      <c r="G25" s="5"/>
      <c r="H25" s="5"/>
    </row>
    <row r="26" customFormat="false" ht="22.5" hidden="false" customHeight="true" outlineLevel="0" collapsed="false">
      <c r="A26" s="5"/>
      <c r="B26" s="5"/>
      <c r="C26" s="5"/>
      <c r="D26" s="5"/>
      <c r="E26" s="5"/>
      <c r="F26" s="5"/>
      <c r="G26" s="5"/>
      <c r="H26" s="5"/>
    </row>
    <row r="27" customFormat="false" ht="22.5" hidden="false" customHeight="true" outlineLevel="0" collapsed="false">
      <c r="A27" s="5"/>
      <c r="B27" s="5"/>
      <c r="C27" s="5"/>
      <c r="D27" s="5"/>
      <c r="E27" s="5"/>
      <c r="F27" s="5"/>
      <c r="G27" s="5"/>
      <c r="H27" s="5"/>
    </row>
    <row r="29" customFormat="false" ht="22.5" hidden="false" customHeight="true" outlineLevel="0" collapsed="false">
      <c r="A29" s="5" t="s">
        <v>111</v>
      </c>
      <c r="B29" s="5"/>
      <c r="C29" s="5"/>
      <c r="D29" s="5"/>
      <c r="E29" s="5"/>
      <c r="F29" s="5"/>
      <c r="G29" s="5"/>
      <c r="H29" s="5"/>
    </row>
    <row r="30" customFormat="false" ht="22.5" hidden="false" customHeight="true" outlineLevel="0" collapsed="false">
      <c r="A30" s="5"/>
      <c r="B30" s="5"/>
      <c r="C30" s="5"/>
      <c r="D30" s="5"/>
      <c r="E30" s="5"/>
      <c r="F30" s="5"/>
      <c r="G30" s="5"/>
      <c r="H30" s="5"/>
    </row>
    <row r="31" customFormat="false" ht="22.5" hidden="false" customHeight="true" outlineLevel="0" collapsed="false">
      <c r="A31" s="5"/>
      <c r="B31" s="5"/>
      <c r="C31" s="5"/>
      <c r="D31" s="5"/>
      <c r="E31" s="5"/>
      <c r="F31" s="5"/>
      <c r="G31" s="5"/>
      <c r="H31" s="5"/>
    </row>
    <row r="33" customFormat="false" ht="22.5" hidden="false" customHeight="true" outlineLevel="0" collapsed="false">
      <c r="A33" s="2" t="s">
        <v>112</v>
      </c>
      <c r="B33" s="2"/>
      <c r="C33" s="2"/>
      <c r="D33" s="2"/>
      <c r="E33" s="2"/>
      <c r="F33" s="2"/>
      <c r="G33" s="2"/>
      <c r="H33" s="2"/>
    </row>
  </sheetData>
  <mergeCells count="9">
    <mergeCell ref="A1:F2"/>
    <mergeCell ref="A5:H7"/>
    <mergeCell ref="A9:H11"/>
    <mergeCell ref="A13:H15"/>
    <mergeCell ref="A17:H19"/>
    <mergeCell ref="A21:H23"/>
    <mergeCell ref="A25:H27"/>
    <mergeCell ref="A29:H31"/>
    <mergeCell ref="A33:H33"/>
  </mergeCells>
  <printOptions headings="false" gridLines="false" gridLinesSet="true" horizontalCentered="false" verticalCentered="false"/>
  <pageMargins left="0.3" right="0.3" top="0.4" bottom="0.4"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&amp;Ldemo-mine | Readme&amp;RPage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A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0" t="s">
        <v>113</v>
      </c>
    </row>
    <row r="2" customFormat="false" ht="22.5" hidden="false" customHeight="true" outlineLevel="0" collapsed="false">
      <c r="A2" s="0" t="s">
        <v>114</v>
      </c>
    </row>
    <row r="3" customFormat="false" ht="22.5" hidden="false" customHeight="true" outlineLevel="0" collapsed="false">
      <c r="A3" s="0" t="s">
        <v>115</v>
      </c>
    </row>
  </sheetData>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_Model&amp;RPage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2026-09-20T03:40:38Z</dcterms:created>
  <dc:creator>Investing Research</dc:creator>
  <dc:description/>
  <dc:language>en-US</dc:language>
  <cp:lastModifiedBy>Investing Research</cp:lastModifiedBy>
  <dcterms:modified xsi:type="dcterms:W3CDTF">2026-09-20T03:40:40Z</dcterms:modified>
  <cp:revision>0</cp:revision>
  <dc:subject/>
  <dc:title>demo-mine | investment model</dc:title>
</cp:coreProperties>
</file>

<file path=docProps/custom.xml><?xml version="1.0" encoding="utf-8"?>
<Properties xmlns="http://schemas.openxmlformats.org/officeDocument/2006/custom-properties" xmlns:vt="http://schemas.openxmlformats.org/officeDocument/2006/docPropsVTypes"/>
</file>